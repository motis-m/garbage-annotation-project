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质检报告" sheetId="1" state="visible" r:id="rId3"/>
    <sheet name="问题清单" sheetId="2" state="visible" r:id="rId4"/>
    <sheet name="类别统计" sheetId="3" state="visible" r:id="rId5"/>
    <sheet name="判定标准与说明" sheetId="4" state="visible" r:id="rId6"/>
  </sheets>
  <definedNames>
    <definedName function="false" hidden="true" localSheetId="0" name="_xlnm._FilterDatabase" vbProcedure="false">质检报告!$A$7:$H$42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<sst xmlns="http://schemas.openxmlformats.org/spreadsheetml/2006/main" count="208" uniqueCount="142">
  <si>
    <t xml:space="preserve">生活垃圾目标检测数据集 — 标注质量抽检报告</t>
  </si>
  <si>
    <t xml:space="preserve">数据来源</t>
  </si>
  <si>
    <r>
      <rPr>
        <sz val="9"/>
        <color rgb="FF595959"/>
        <rFont val="Cambria"/>
        <family val="0"/>
        <charset val="1"/>
      </rPr>
      <t xml:space="preserve">Label Studio </t>
    </r>
    <r>
      <rPr>
        <sz val="9"/>
        <color rgb="FF595959"/>
        <rFont val="Noto Sans SC"/>
        <family val="2"/>
      </rPr>
      <t xml:space="preserve">导出包：</t>
    </r>
    <r>
      <rPr>
        <sz val="9"/>
        <color rgb="FF595959"/>
        <rFont val="Cambria"/>
        <family val="0"/>
        <charset val="1"/>
      </rPr>
      <t xml:space="preserve">D:\label-studio\project-3-at-2026-10-01-22-06-b565b7bc.zip</t>
    </r>
    <r>
      <rPr>
        <sz val="9"/>
        <color rgb="FF595959"/>
        <rFont val="Noto Sans SC"/>
        <family val="2"/>
      </rPr>
      <t xml:space="preserve">（</t>
    </r>
    <r>
      <rPr>
        <sz val="9"/>
        <color rgb="FF595959"/>
        <rFont val="Cambria"/>
        <family val="0"/>
        <charset val="1"/>
      </rPr>
      <t xml:space="preserve">YOLO </t>
    </r>
    <r>
      <rPr>
        <sz val="9"/>
        <color rgb="FF595959"/>
        <rFont val="Noto Sans SC"/>
        <family val="2"/>
      </rPr>
      <t xml:space="preserve">格式：</t>
    </r>
    <r>
      <rPr>
        <sz val="9"/>
        <color rgb="FF595959"/>
        <rFont val="Cambria"/>
        <family val="0"/>
        <charset val="1"/>
      </rPr>
      <t xml:space="preserve">images/</t>
    </r>
    <r>
      <rPr>
        <sz val="9"/>
        <color rgb="FF595959"/>
        <rFont val="Noto Sans SC"/>
        <family val="2"/>
      </rPr>
      <t xml:space="preserve">、</t>
    </r>
    <r>
      <rPr>
        <sz val="9"/>
        <color rgb="FF595959"/>
        <rFont val="Cambria"/>
        <family val="0"/>
        <charset val="1"/>
      </rPr>
      <t xml:space="preserve">labels/</t>
    </r>
    <r>
      <rPr>
        <sz val="9"/>
        <color rgb="FF595959"/>
        <rFont val="Noto Sans SC"/>
        <family val="2"/>
      </rPr>
      <t xml:space="preserve">、</t>
    </r>
    <r>
      <rPr>
        <sz val="9"/>
        <color rgb="FF595959"/>
        <rFont val="Cambria"/>
        <family val="0"/>
        <charset val="1"/>
      </rPr>
      <t xml:space="preserve">classes.txt</t>
    </r>
    <r>
      <rPr>
        <sz val="9"/>
        <color rgb="FF595959"/>
        <rFont val="Noto Sans SC"/>
        <family val="2"/>
      </rPr>
      <t xml:space="preserve">、</t>
    </r>
    <r>
      <rPr>
        <sz val="9"/>
        <color rgb="FF595959"/>
        <rFont val="Cambria"/>
        <family val="0"/>
        <charset val="1"/>
      </rPr>
      <t xml:space="preserve">notes.json</t>
    </r>
    <r>
      <rPr>
        <sz val="9"/>
        <color rgb="FF595959"/>
        <rFont val="Noto Sans SC"/>
        <family val="2"/>
      </rPr>
      <t xml:space="preserve">）</t>
    </r>
  </si>
  <si>
    <t xml:space="preserve">抽检范围</t>
  </si>
  <si>
    <r>
      <rPr>
        <sz val="9"/>
        <color rgb="FF595959"/>
        <rFont val="Noto Sans SC"/>
        <family val="2"/>
      </rPr>
      <t xml:space="preserve">全部 </t>
    </r>
    <r>
      <rPr>
        <sz val="9"/>
        <color rgb="FF595959"/>
        <rFont val="Cambria"/>
        <family val="0"/>
        <charset val="1"/>
      </rPr>
      <t xml:space="preserve">35 </t>
    </r>
    <r>
      <rPr>
        <sz val="9"/>
        <color rgb="FF595959"/>
        <rFont val="Noto Sans SC"/>
        <family val="2"/>
      </rPr>
      <t xml:space="preserve">张已标注图片（抽检率 </t>
    </r>
    <r>
      <rPr>
        <sz val="9"/>
        <color rgb="FF595959"/>
        <rFont val="Cambria"/>
        <family val="0"/>
        <charset val="1"/>
      </rPr>
      <t xml:space="preserve">100%</t>
    </r>
    <r>
      <rPr>
        <sz val="9"/>
        <color rgb="FF595959"/>
        <rFont val="Noto Sans SC"/>
        <family val="2"/>
      </rPr>
      <t xml:space="preserve">），共 </t>
    </r>
    <r>
      <rPr>
        <sz val="9"/>
        <color rgb="FF595959"/>
        <rFont val="Cambria"/>
        <family val="0"/>
        <charset val="1"/>
      </rPr>
      <t xml:space="preserve">35 </t>
    </r>
    <r>
      <rPr>
        <sz val="9"/>
        <color rgb="FF595959"/>
        <rFont val="Noto Sans SC"/>
        <family val="2"/>
      </rPr>
      <t xml:space="preserve">个标注框，</t>
    </r>
    <r>
      <rPr>
        <sz val="9"/>
        <color rgb="FF595959"/>
        <rFont val="Cambria"/>
        <family val="0"/>
        <charset val="1"/>
      </rPr>
      <t xml:space="preserve">5 </t>
    </r>
    <r>
      <rPr>
        <sz val="9"/>
        <color rgb="FF595959"/>
        <rFont val="Noto Sans SC"/>
        <family val="2"/>
      </rPr>
      <t xml:space="preserve">个类别各 </t>
    </r>
    <r>
      <rPr>
        <sz val="9"/>
        <color rgb="FF595959"/>
        <rFont val="Cambria"/>
        <family val="0"/>
        <charset val="1"/>
      </rPr>
      <t xml:space="preserve">7 </t>
    </r>
    <r>
      <rPr>
        <sz val="9"/>
        <color rgb="FF595959"/>
        <rFont val="Noto Sans SC"/>
        <family val="2"/>
      </rPr>
      <t xml:space="preserve">张</t>
    </r>
  </si>
  <si>
    <t xml:space="preserve">复核方式</t>
  </si>
  <si>
    <r>
      <rPr>
        <sz val="9"/>
        <color rgb="FF595959"/>
        <rFont val="Noto Sans SC"/>
        <family val="2"/>
      </rPr>
      <t xml:space="preserve">结构化校验（程序解析标签文件） </t>
    </r>
    <r>
      <rPr>
        <sz val="9"/>
        <color rgb="FF595959"/>
        <rFont val="Cambria"/>
        <family val="0"/>
        <charset val="1"/>
      </rPr>
      <t xml:space="preserve">+ </t>
    </r>
    <r>
      <rPr>
        <sz val="9"/>
        <color rgb="FF595959"/>
        <rFont val="Noto Sans SC"/>
        <family val="2"/>
      </rPr>
      <t xml:space="preserve">逐张 </t>
    </r>
    <r>
      <rPr>
        <sz val="9"/>
        <color rgb="FF595959"/>
        <rFont val="Cambria"/>
        <family val="0"/>
        <charset val="1"/>
      </rPr>
      <t xml:space="preserve">2×/3× </t>
    </r>
    <r>
      <rPr>
        <sz val="9"/>
        <color rgb="FF595959"/>
        <rFont val="Noto Sans SC"/>
        <family val="2"/>
      </rPr>
      <t xml:space="preserve">放大目视复核框边界 </t>
    </r>
    <r>
      <rPr>
        <sz val="9"/>
        <color rgb="FF595959"/>
        <rFont val="Cambria"/>
        <family val="0"/>
        <charset val="1"/>
      </rPr>
      <t xml:space="preserve">+ </t>
    </r>
    <r>
      <rPr>
        <sz val="9"/>
        <color rgb="FF595959"/>
        <rFont val="Noto Sans SC"/>
        <family val="2"/>
      </rPr>
      <t xml:space="preserve">以数据集原始类别（文件名）做类别交叉验证</t>
    </r>
  </si>
  <si>
    <t xml:space="preserve">判定标准</t>
  </si>
  <si>
    <r>
      <rPr>
        <sz val="9"/>
        <color rgb="FF595959"/>
        <rFont val="Noto Sans SC"/>
        <family val="2"/>
      </rPr>
      <t xml:space="preserve">见“判定标准与说明”工作表；准确率口径：该图准确率 </t>
    </r>
    <r>
      <rPr>
        <sz val="9"/>
        <color rgb="FF595959"/>
        <rFont val="Cambria"/>
        <family val="0"/>
        <charset val="1"/>
      </rPr>
      <t xml:space="preserve">=(</t>
    </r>
    <r>
      <rPr>
        <sz val="9"/>
        <color rgb="FF595959"/>
        <rFont val="Noto Sans SC"/>
        <family val="2"/>
      </rPr>
      <t xml:space="preserve">标注框总数−错标数−框选不准数</t>
    </r>
    <r>
      <rPr>
        <sz val="9"/>
        <color rgb="FF595959"/>
        <rFont val="Cambria"/>
        <family val="0"/>
        <charset val="1"/>
      </rPr>
      <t xml:space="preserve">)/(</t>
    </r>
    <r>
      <rPr>
        <sz val="9"/>
        <color rgb="FF595959"/>
        <rFont val="Noto Sans SC"/>
        <family val="2"/>
      </rPr>
      <t xml:space="preserve">标注框总数</t>
    </r>
    <r>
      <rPr>
        <sz val="9"/>
        <color rgb="FF595959"/>
        <rFont val="Cambria"/>
        <family val="0"/>
        <charset val="1"/>
      </rPr>
      <t xml:space="preserve">+</t>
    </r>
    <r>
      <rPr>
        <sz val="9"/>
        <color rgb="FF595959"/>
        <rFont val="Noto Sans SC"/>
        <family val="2"/>
      </rPr>
      <t xml:space="preserve">漏标数</t>
    </r>
    <r>
      <rPr>
        <sz val="9"/>
        <color rgb="FF595959"/>
        <rFont val="Cambria"/>
        <family val="0"/>
        <charset val="1"/>
      </rPr>
      <t xml:space="preserve">)</t>
    </r>
  </si>
  <si>
    <t xml:space="preserve">抽检图片编号</t>
  </si>
  <si>
    <t xml:space="preserve">文件名</t>
  </si>
  <si>
    <t xml:space="preserve">类别</t>
  </si>
  <si>
    <t xml:space="preserve">标注框总数</t>
  </si>
  <si>
    <t xml:space="preserve">漏标数</t>
  </si>
  <si>
    <t xml:space="preserve">错标数</t>
  </si>
  <si>
    <t xml:space="preserve">框选不准数</t>
  </si>
  <si>
    <t xml:space="preserve">该图准确率</t>
  </si>
  <si>
    <t xml:space="preserve">Task_001</t>
  </si>
  <si>
    <t xml:space="preserve">glass1.jpg</t>
  </si>
  <si>
    <r>
      <rPr>
        <sz val="10"/>
        <rFont val="Noto Sans SC"/>
        <family val="2"/>
      </rPr>
      <t xml:space="preserve">玻璃</t>
    </r>
    <r>
      <rPr>
        <sz val="10"/>
        <rFont val="Cambria"/>
        <family val="0"/>
        <charset val="1"/>
      </rPr>
      <t xml:space="preserve">(glass)</t>
    </r>
  </si>
  <si>
    <t xml:space="preserve">Task_002</t>
  </si>
  <si>
    <t xml:space="preserve">glass2.jpg</t>
  </si>
  <si>
    <t xml:space="preserve">Task_003</t>
  </si>
  <si>
    <t xml:space="preserve">glass3.jpg</t>
  </si>
  <si>
    <t xml:space="preserve">Task_004</t>
  </si>
  <si>
    <t xml:space="preserve">glass4.jpg</t>
  </si>
  <si>
    <t xml:space="preserve">Task_005</t>
  </si>
  <si>
    <t xml:space="preserve">glass5.jpg</t>
  </si>
  <si>
    <t xml:space="preserve">Task_006</t>
  </si>
  <si>
    <t xml:space="preserve">glass6.jpg</t>
  </si>
  <si>
    <t xml:space="preserve">Task_007</t>
  </si>
  <si>
    <t xml:space="preserve">glass7.jpg</t>
  </si>
  <si>
    <t xml:space="preserve">Task_008</t>
  </si>
  <si>
    <t xml:space="preserve">metal1.jpg</t>
  </si>
  <si>
    <r>
      <rPr>
        <sz val="10"/>
        <rFont val="Noto Sans SC"/>
        <family val="2"/>
      </rPr>
      <t xml:space="preserve">金属</t>
    </r>
    <r>
      <rPr>
        <sz val="10"/>
        <rFont val="Cambria"/>
        <family val="0"/>
        <charset val="1"/>
      </rPr>
      <t xml:space="preserve">(metal)</t>
    </r>
  </si>
  <si>
    <t xml:space="preserve">Task_009</t>
  </si>
  <si>
    <t xml:space="preserve">metal2.jpg</t>
  </si>
  <si>
    <t xml:space="preserve">Task_010</t>
  </si>
  <si>
    <t xml:space="preserve">metal3.jpg</t>
  </si>
  <si>
    <t xml:space="preserve">Task_011</t>
  </si>
  <si>
    <t xml:space="preserve">metal4.jpg</t>
  </si>
  <si>
    <t xml:space="preserve">Task_012</t>
  </si>
  <si>
    <t xml:space="preserve">metal5.jpg</t>
  </si>
  <si>
    <t xml:space="preserve">Task_013</t>
  </si>
  <si>
    <t xml:space="preserve">metal6.jpg</t>
  </si>
  <si>
    <t xml:space="preserve">Task_014</t>
  </si>
  <si>
    <t xml:space="preserve">metal7.jpg</t>
  </si>
  <si>
    <t xml:space="preserve">Task_015</t>
  </si>
  <si>
    <t xml:space="preserve">trash1.jpg</t>
  </si>
  <si>
    <r>
      <rPr>
        <sz val="10"/>
        <rFont val="Noto Sans SC"/>
        <family val="2"/>
      </rPr>
      <t xml:space="preserve">其他垃圾</t>
    </r>
    <r>
      <rPr>
        <sz val="10"/>
        <rFont val="Cambria"/>
        <family val="0"/>
        <charset val="1"/>
      </rPr>
      <t xml:space="preserve">(other)</t>
    </r>
  </si>
  <si>
    <t xml:space="preserve">Task_016</t>
  </si>
  <si>
    <t xml:space="preserve">trash2.jpg</t>
  </si>
  <si>
    <t xml:space="preserve">Task_017</t>
  </si>
  <si>
    <t xml:space="preserve">trash3.jpg</t>
  </si>
  <si>
    <t xml:space="preserve">Task_018</t>
  </si>
  <si>
    <t xml:space="preserve">trash4.jpg</t>
  </si>
  <si>
    <t xml:space="preserve">Task_019</t>
  </si>
  <si>
    <t xml:space="preserve">trash5.jpg</t>
  </si>
  <si>
    <t xml:space="preserve">Task_020</t>
  </si>
  <si>
    <t xml:space="preserve">trash6.jpg</t>
  </si>
  <si>
    <t xml:space="preserve">Task_021</t>
  </si>
  <si>
    <t xml:space="preserve">trash7.jpg</t>
  </si>
  <si>
    <t xml:space="preserve">Task_022</t>
  </si>
  <si>
    <t xml:space="preserve">paper1.jpg</t>
  </si>
  <si>
    <r>
      <rPr>
        <sz val="10"/>
        <rFont val="Noto Sans SC"/>
        <family val="2"/>
      </rPr>
      <t xml:space="preserve">纸张</t>
    </r>
    <r>
      <rPr>
        <sz val="10"/>
        <rFont val="Cambria"/>
        <family val="0"/>
        <charset val="1"/>
      </rPr>
      <t xml:space="preserve">(paper)</t>
    </r>
  </si>
  <si>
    <t xml:space="preserve">Task_023</t>
  </si>
  <si>
    <t xml:space="preserve">paper2.jpg</t>
  </si>
  <si>
    <t xml:space="preserve">Task_024</t>
  </si>
  <si>
    <t xml:space="preserve">paper3.jpg</t>
  </si>
  <si>
    <t xml:space="preserve">Task_025</t>
  </si>
  <si>
    <t xml:space="preserve">paper4.jpg</t>
  </si>
  <si>
    <t xml:space="preserve">Task_026</t>
  </si>
  <si>
    <t xml:space="preserve">paper5.jpg</t>
  </si>
  <si>
    <t xml:space="preserve">Task_027</t>
  </si>
  <si>
    <t xml:space="preserve">paper6.jpg</t>
  </si>
  <si>
    <t xml:space="preserve">Task_028</t>
  </si>
  <si>
    <t xml:space="preserve">paper7.jpg</t>
  </si>
  <si>
    <t xml:space="preserve">Task_029</t>
  </si>
  <si>
    <t xml:space="preserve">plastic1.jpg</t>
  </si>
  <si>
    <r>
      <rPr>
        <sz val="10"/>
        <rFont val="Noto Sans SC"/>
        <family val="2"/>
      </rPr>
      <t xml:space="preserve">塑料</t>
    </r>
    <r>
      <rPr>
        <sz val="10"/>
        <rFont val="Cambria"/>
        <family val="0"/>
        <charset val="1"/>
      </rPr>
      <t xml:space="preserve">(plastic)</t>
    </r>
  </si>
  <si>
    <t xml:space="preserve">Task_030</t>
  </si>
  <si>
    <t xml:space="preserve">plastic2.jpg</t>
  </si>
  <si>
    <t xml:space="preserve">Task_031</t>
  </si>
  <si>
    <t xml:space="preserve">plastic3.jpg</t>
  </si>
  <si>
    <t xml:space="preserve">Task_032</t>
  </si>
  <si>
    <t xml:space="preserve">plastic4.jpg</t>
  </si>
  <si>
    <t xml:space="preserve">Task_033</t>
  </si>
  <si>
    <t xml:space="preserve">plastic5.jpg</t>
  </si>
  <si>
    <t xml:space="preserve">Task_034</t>
  </si>
  <si>
    <t xml:space="preserve">plastic6.jpg</t>
  </si>
  <si>
    <t xml:space="preserve">Task_035</t>
  </si>
  <si>
    <t xml:space="preserve">plastic7.jpg</t>
  </si>
  <si>
    <r>
      <rPr>
        <b val="true"/>
        <sz val="10"/>
        <rFont val="Noto Sans SC"/>
        <family val="2"/>
      </rPr>
      <t xml:space="preserve">合计（</t>
    </r>
    <r>
      <rPr>
        <b val="true"/>
        <sz val="10"/>
        <rFont val="Cambria"/>
        <family val="0"/>
        <charset val="1"/>
      </rPr>
      <t xml:space="preserve">35 </t>
    </r>
    <r>
      <rPr>
        <b val="true"/>
        <sz val="10"/>
        <rFont val="Noto Sans SC"/>
        <family val="2"/>
      </rPr>
      <t xml:space="preserve">张）</t>
    </r>
  </si>
  <si>
    <t xml:space="preserve">整体抽检准确率 →</t>
  </si>
  <si>
    <t xml:space="preserve">结论</t>
  </si>
  <si>
    <r>
      <rPr>
        <sz val="11"/>
        <color theme="1"/>
        <rFont val="Noto Sans SC"/>
        <family val="2"/>
      </rPr>
      <t xml:space="preserve">抽检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SC"/>
        <family val="2"/>
      </rPr>
      <t xml:space="preserve">张，标注框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SC"/>
        <family val="2"/>
      </rPr>
      <t xml:space="preserve">个：漏标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个、错标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</rPr>
      <t xml:space="preserve">个、框选不准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</rPr>
      <t xml:space="preserve">个，整体抽检准确率 </t>
    </r>
    <r>
      <rPr>
        <sz val="11"/>
        <color theme="1"/>
        <rFont val="Calibri"/>
        <family val="2"/>
        <charset val="1"/>
      </rPr>
      <t xml:space="preserve">85.71%</t>
    </r>
    <r>
      <rPr>
        <sz val="11"/>
        <color theme="1"/>
        <rFont val="Noto Sans SC"/>
        <family val="2"/>
      </rPr>
      <t xml:space="preserve">。类别标注与框的完整性无问题，问题集中在框边界贴合度：</t>
    </r>
    <r>
      <rPr>
        <sz val="11"/>
        <color theme="1"/>
        <rFont val="Calibri"/>
        <family val="2"/>
        <charset val="1"/>
      </rPr>
      <t xml:space="preserve">glass3 / glass4 </t>
    </r>
    <r>
      <rPr>
        <sz val="11"/>
        <color theme="1"/>
        <rFont val="Noto Sans SC"/>
        <family val="2"/>
      </rPr>
      <t xml:space="preserve">切掉杯座，</t>
    </r>
    <r>
      <rPr>
        <sz val="11"/>
        <color theme="1"/>
        <rFont val="Calibri"/>
        <family val="2"/>
        <charset val="1"/>
      </rPr>
      <t xml:space="preserve">trash4 </t>
    </r>
    <r>
      <rPr>
        <sz val="11"/>
        <color theme="1"/>
        <rFont val="Noto Sans SC"/>
        <family val="2"/>
      </rPr>
      <t xml:space="preserve">切掉袋体上、右部分（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张为明显缺陷，需返工）；</t>
    </r>
    <r>
      <rPr>
        <sz val="11"/>
        <color theme="1"/>
        <rFont val="Calibri"/>
        <family val="2"/>
        <charset val="1"/>
      </rPr>
      <t xml:space="preserve">glass1 / trash5 </t>
    </r>
    <r>
      <rPr>
        <sz val="11"/>
        <color theme="1"/>
        <rFont val="Noto Sans SC"/>
        <family val="2"/>
      </rPr>
      <t xml:space="preserve">框边界偏松约 </t>
    </r>
    <r>
      <rPr>
        <sz val="11"/>
        <color theme="1"/>
        <rFont val="Calibri"/>
        <family val="2"/>
        <charset val="1"/>
      </rPr>
      <t xml:space="preserve">19px</t>
    </r>
    <r>
      <rPr>
        <sz val="11"/>
        <color theme="1"/>
        <rFont val="Noto Sans SC"/>
        <family val="2"/>
      </rPr>
      <t xml:space="preserve">（轻微，建议收紧）。返工后需对这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SC"/>
        <family val="2"/>
      </rPr>
      <t xml:space="preserve">张复检。</t>
    </r>
  </si>
  <si>
    <r>
      <rPr>
        <b val="true"/>
        <sz val="14"/>
        <color rgb="FF1F3864"/>
        <rFont val="Noto Sans SC"/>
        <family val="2"/>
      </rPr>
      <t xml:space="preserve">问题清单（共 </t>
    </r>
    <r>
      <rPr>
        <b val="true"/>
        <sz val="14"/>
        <color rgb="FF1F3864"/>
        <rFont val="Cambria"/>
        <family val="0"/>
        <charset val="1"/>
      </rPr>
      <t xml:space="preserve">5 </t>
    </r>
    <r>
      <rPr>
        <b val="true"/>
        <sz val="14"/>
        <color rgb="FF1F3864"/>
        <rFont val="Noto Sans SC"/>
        <family val="2"/>
      </rPr>
      <t xml:space="preserve">项）</t>
    </r>
  </si>
  <si>
    <t xml:space="preserve">序号</t>
  </si>
  <si>
    <t xml:space="preserve">抽检编号</t>
  </si>
  <si>
    <t xml:space="preserve">问题类型</t>
  </si>
  <si>
    <t xml:space="preserve">具体描述</t>
  </si>
  <si>
    <t xml:space="preserve">严重程度</t>
  </si>
  <si>
    <t xml:space="preserve">建议处理</t>
  </si>
  <si>
    <t xml:space="preserve">框选不准</t>
  </si>
  <si>
    <r>
      <rPr>
        <sz val="10"/>
        <rFont val="Noto Sans SC"/>
        <family val="2"/>
      </rPr>
      <t xml:space="preserve">框下边界较瓶身最低点留白约 </t>
    </r>
    <r>
      <rPr>
        <sz val="10"/>
        <rFont val="Cambria"/>
        <family val="0"/>
        <charset val="1"/>
      </rPr>
      <t xml:space="preserve">19px</t>
    </r>
    <r>
      <rPr>
        <sz val="10"/>
        <rFont val="Noto Sans SC"/>
        <family val="2"/>
      </rPr>
      <t xml:space="preserve">，框偏松</t>
    </r>
  </si>
  <si>
    <t xml:space="preserve">轻微</t>
  </si>
  <si>
    <r>
      <rPr>
        <sz val="10"/>
        <rFont val="Noto Sans SC"/>
        <family val="2"/>
      </rPr>
      <t xml:space="preserve">返工重标：收紧框边界至物体外轮廓，建议四周间隙 ≤</t>
    </r>
    <r>
      <rPr>
        <sz val="10"/>
        <rFont val="Cambria"/>
        <family val="0"/>
        <charset val="1"/>
      </rPr>
      <t xml:space="preserve">10px</t>
    </r>
  </si>
  <si>
    <r>
      <rPr>
        <sz val="10"/>
        <rFont val="Noto Sans SC"/>
        <family val="2"/>
      </rPr>
      <t xml:space="preserve">框右边界切掉杯座，物体可见部分外溢约 </t>
    </r>
    <r>
      <rPr>
        <sz val="10"/>
        <rFont val="Cambria"/>
        <family val="0"/>
        <charset val="1"/>
      </rPr>
      <t xml:space="preserve">30px</t>
    </r>
    <r>
      <rPr>
        <sz val="10"/>
        <rFont val="Noto Sans SC"/>
        <family val="2"/>
      </rPr>
      <t xml:space="preserve">，框偏小</t>
    </r>
  </si>
  <si>
    <t xml:space="preserve">明显</t>
  </si>
  <si>
    <r>
      <rPr>
        <sz val="10"/>
        <rFont val="Noto Sans SC"/>
        <family val="2"/>
      </rPr>
      <t xml:space="preserve">返工重标：把框拉到物体可见外轮廓，确保杯座</t>
    </r>
    <r>
      <rPr>
        <sz val="10"/>
        <rFont val="Cambria"/>
        <family val="0"/>
        <charset val="1"/>
      </rPr>
      <t xml:space="preserve">/</t>
    </r>
    <r>
      <rPr>
        <sz val="10"/>
        <rFont val="Noto Sans SC"/>
        <family val="2"/>
      </rPr>
      <t xml:space="preserve">袋体等全部包含在框内，间隙 ≤</t>
    </r>
    <r>
      <rPr>
        <sz val="10"/>
        <rFont val="Cambria"/>
        <family val="0"/>
        <charset val="1"/>
      </rPr>
      <t xml:space="preserve">10px</t>
    </r>
  </si>
  <si>
    <r>
      <rPr>
        <sz val="10"/>
        <rFont val="Noto Sans SC"/>
        <family val="2"/>
      </rPr>
      <t xml:space="preserve">框右边界切掉杯座，物体可见部分外溢约 </t>
    </r>
    <r>
      <rPr>
        <sz val="10"/>
        <rFont val="Cambria"/>
        <family val="0"/>
        <charset val="1"/>
      </rPr>
      <t xml:space="preserve">35px</t>
    </r>
    <r>
      <rPr>
        <sz val="10"/>
        <rFont val="Noto Sans SC"/>
        <family val="2"/>
      </rPr>
      <t xml:space="preserve">，框偏小</t>
    </r>
  </si>
  <si>
    <r>
      <rPr>
        <sz val="10"/>
        <rFont val="Noto Sans SC"/>
        <family val="2"/>
      </rPr>
      <t xml:space="preserve">塑料袋上侧、右侧超出框边界（上约 </t>
    </r>
    <r>
      <rPr>
        <sz val="10"/>
        <rFont val="Cambria"/>
        <family val="0"/>
        <charset val="1"/>
      </rPr>
      <t xml:space="preserve">20px</t>
    </r>
    <r>
      <rPr>
        <sz val="10"/>
        <rFont val="Noto Sans SC"/>
        <family val="2"/>
      </rPr>
      <t xml:space="preserve">、右约 </t>
    </r>
    <r>
      <rPr>
        <sz val="10"/>
        <rFont val="Cambria"/>
        <family val="0"/>
        <charset val="1"/>
      </rPr>
      <t xml:space="preserve">30px</t>
    </r>
    <r>
      <rPr>
        <sz val="10"/>
        <rFont val="Noto Sans SC"/>
        <family val="2"/>
      </rPr>
      <t xml:space="preserve">），框偏小</t>
    </r>
  </si>
  <si>
    <r>
      <rPr>
        <sz val="10"/>
        <rFont val="Noto Sans SC"/>
        <family val="2"/>
      </rPr>
      <t xml:space="preserve">框左边界较袋体最左轮廓留白约 </t>
    </r>
    <r>
      <rPr>
        <sz val="10"/>
        <rFont val="Cambria"/>
        <family val="0"/>
        <charset val="1"/>
      </rPr>
      <t xml:space="preserve">19px</t>
    </r>
    <r>
      <rPr>
        <sz val="10"/>
        <rFont val="Noto Sans SC"/>
        <family val="2"/>
      </rPr>
      <t xml:space="preserve">，框偏松</t>
    </r>
  </si>
  <si>
    <t xml:space="preserve">分类别抽检统计</t>
  </si>
  <si>
    <t xml:space="preserve">类别（标签）</t>
  </si>
  <si>
    <t xml:space="preserve">中文</t>
  </si>
  <si>
    <t xml:space="preserve">图片数</t>
  </si>
  <si>
    <t xml:space="preserve">该类准确率</t>
  </si>
  <si>
    <t xml:space="preserve">玻璃</t>
  </si>
  <si>
    <t xml:space="preserve">金属</t>
  </si>
  <si>
    <t xml:space="preserve">其他垃圾</t>
  </si>
  <si>
    <t xml:space="preserve">纸张</t>
  </si>
  <si>
    <t xml:space="preserve">塑料</t>
  </si>
  <si>
    <t xml:space="preserve">合计</t>
  </si>
  <si>
    <t xml:space="preserve">全部</t>
  </si>
  <si>
    <t xml:space="preserve">判定标准、复核方法与局限说明</t>
  </si>
  <si>
    <t xml:space="preserve">一、抽检对象</t>
  </si>
  <si>
    <r>
      <rPr>
        <sz val="10"/>
        <rFont val="Cambria"/>
        <family val="0"/>
        <charset val="1"/>
      </rPr>
      <t xml:space="preserve">Label Studio </t>
    </r>
    <r>
      <rPr>
        <sz val="10"/>
        <rFont val="Noto Sans SC"/>
        <family val="2"/>
      </rPr>
      <t xml:space="preserve">项目导出包（</t>
    </r>
    <r>
      <rPr>
        <sz val="10"/>
        <rFont val="Cambria"/>
        <family val="0"/>
        <charset val="1"/>
      </rPr>
      <t xml:space="preserve">project-3-at-2026-10-01-22-06-b565b7bc.zip</t>
    </r>
    <r>
      <rPr>
        <sz val="10"/>
        <rFont val="Noto Sans SC"/>
        <family val="2"/>
      </rPr>
      <t xml:space="preserve">）中的全部 </t>
    </r>
    <r>
      <rPr>
        <sz val="10"/>
        <rFont val="Cambria"/>
        <family val="0"/>
        <charset val="1"/>
      </rPr>
      <t xml:space="preserve">35 </t>
    </r>
    <r>
      <rPr>
        <sz val="10"/>
        <rFont val="Noto Sans SC"/>
        <family val="2"/>
      </rPr>
      <t xml:space="preserve">张已标注图片及其 </t>
    </r>
    <r>
      <rPr>
        <sz val="10"/>
        <rFont val="Cambria"/>
        <family val="0"/>
        <charset val="1"/>
      </rPr>
      <t xml:space="preserve">YOLO </t>
    </r>
    <r>
      <rPr>
        <sz val="10"/>
        <rFont val="Noto Sans SC"/>
        <family val="2"/>
      </rPr>
      <t xml:space="preserve">格式标签，抽检率 </t>
    </r>
    <r>
      <rPr>
        <sz val="10"/>
        <rFont val="Cambria"/>
        <family val="0"/>
        <charset val="1"/>
      </rPr>
      <t xml:space="preserve">100%</t>
    </r>
    <r>
      <rPr>
        <sz val="10"/>
        <rFont val="Noto Sans SC"/>
        <family val="2"/>
      </rPr>
      <t xml:space="preserve">。类别映射来自包内 </t>
    </r>
    <r>
      <rPr>
        <sz val="10"/>
        <rFont val="Cambria"/>
        <family val="0"/>
        <charset val="1"/>
      </rPr>
      <t xml:space="preserve">notes.json</t>
    </r>
    <r>
      <rPr>
        <sz val="10"/>
        <rFont val="Noto Sans SC"/>
        <family val="2"/>
      </rPr>
      <t xml:space="preserve">：</t>
    </r>
    <r>
      <rPr>
        <sz val="10"/>
        <rFont val="Cambria"/>
        <family val="0"/>
        <charset val="1"/>
      </rPr>
      <t xml:space="preserve">0=glass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1=metal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2=other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3=paper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4=plastic</t>
    </r>
    <r>
      <rPr>
        <sz val="10"/>
        <rFont val="Noto Sans SC"/>
        <family val="2"/>
      </rPr>
      <t xml:space="preserve">。</t>
    </r>
  </si>
  <si>
    <t xml:space="preserve">二、判定项目</t>
  </si>
  <si>
    <r>
      <rPr>
        <sz val="10"/>
        <rFont val="Noto Sans SC"/>
        <family val="2"/>
      </rPr>
      <t xml:space="preserve">漏标：图中存在可见的独立生活垃圾物体，但没有任何框覆盖它 → 计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处。
错标：框内物体的实际类别与标注类别不符 → 计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处。
框选不准：框未完整包含物体可见主体（被切掉 </t>
    </r>
    <r>
      <rPr>
        <sz val="10"/>
        <rFont val="Cambria"/>
        <family val="0"/>
        <charset val="1"/>
      </rPr>
      <t xml:space="preserve">&gt;10px</t>
    </r>
    <r>
      <rPr>
        <sz val="10"/>
        <rFont val="Noto Sans SC"/>
        <family val="2"/>
      </rPr>
      <t xml:space="preserve">），或框边界与物体外轮廓的间隙 </t>
    </r>
    <r>
      <rPr>
        <sz val="10"/>
        <rFont val="Cambria"/>
        <family val="0"/>
        <charset val="1"/>
      </rPr>
      <t xml:space="preserve">&gt;10px</t>
    </r>
    <r>
      <rPr>
        <sz val="10"/>
        <rFont val="Noto Sans SC"/>
        <family val="2"/>
      </rPr>
      <t xml:space="preserve">（明显偏松）→ 计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处。</t>
    </r>
  </si>
  <si>
    <t xml:space="preserve">三、阈值与例外</t>
  </si>
  <si>
    <r>
      <rPr>
        <sz val="10"/>
        <rFont val="Noto Sans SC"/>
        <family val="2"/>
      </rPr>
      <t xml:space="preserve">间隙阈值 </t>
    </r>
    <r>
      <rPr>
        <sz val="10"/>
        <rFont val="Cambria"/>
        <family val="0"/>
        <charset val="1"/>
      </rPr>
      <t xml:space="preserve">10px</t>
    </r>
    <r>
      <rPr>
        <sz val="10"/>
        <rFont val="Noto Sans SC"/>
        <family val="2"/>
      </rPr>
      <t xml:space="preserve">（原图 </t>
    </r>
    <r>
      <rPr>
        <sz val="10"/>
        <rFont val="Cambria"/>
        <family val="0"/>
        <charset val="1"/>
      </rPr>
      <t xml:space="preserve">512×384 </t>
    </r>
    <r>
      <rPr>
        <sz val="10"/>
        <rFont val="Noto Sans SC"/>
        <family val="2"/>
      </rPr>
      <t xml:space="preserve">尺度）；本次实测读数在 </t>
    </r>
    <r>
      <rPr>
        <sz val="10"/>
        <rFont val="Cambria"/>
        <family val="0"/>
        <charset val="1"/>
      </rPr>
      <t xml:space="preserve">±5px </t>
    </r>
    <r>
      <rPr>
        <sz val="10"/>
        <rFont val="Noto Sans SC"/>
        <family val="2"/>
      </rPr>
      <t xml:space="preserve">以内，仅对超过 </t>
    </r>
    <r>
      <rPr>
        <sz val="10"/>
        <rFont val="Cambria"/>
        <family val="0"/>
        <charset val="1"/>
      </rPr>
      <t xml:space="preserve">15px </t>
    </r>
    <r>
      <rPr>
        <sz val="10"/>
        <rFont val="Noto Sans SC"/>
        <family val="2"/>
      </rPr>
      <t xml:space="preserve">的明显偏差计入“框选不准”。
物体被画面边界裁切时（框边贴合图像边缘），该侧不计为偏小或偏松。</t>
    </r>
  </si>
  <si>
    <t xml:space="preserve">四、准确率口径</t>
  </si>
  <si>
    <r>
      <rPr>
        <sz val="10"/>
        <rFont val="Noto Sans SC"/>
        <family val="2"/>
      </rPr>
      <t xml:space="preserve">该图准确率 </t>
    </r>
    <r>
      <rPr>
        <sz val="10"/>
        <rFont val="Cambria"/>
        <family val="0"/>
        <charset val="1"/>
      </rPr>
      <t xml:space="preserve">=(</t>
    </r>
    <r>
      <rPr>
        <sz val="10"/>
        <rFont val="Noto Sans SC"/>
        <family val="2"/>
      </rPr>
      <t xml:space="preserve">标注框总数 − 错标数 − 框选不准数</t>
    </r>
    <r>
      <rPr>
        <sz val="10"/>
        <rFont val="Cambria"/>
        <family val="0"/>
        <charset val="1"/>
      </rPr>
      <t xml:space="preserve">)/(</t>
    </r>
    <r>
      <rPr>
        <sz val="10"/>
        <rFont val="Noto Sans SC"/>
        <family val="2"/>
      </rPr>
      <t xml:space="preserve">标注框总数 </t>
    </r>
    <r>
      <rPr>
        <sz val="10"/>
        <rFont val="Cambria"/>
        <family val="0"/>
        <charset val="1"/>
      </rPr>
      <t xml:space="preserve">+ </t>
    </r>
    <r>
      <rPr>
        <sz val="10"/>
        <rFont val="Noto Sans SC"/>
        <family val="2"/>
      </rPr>
      <t xml:space="preserve">漏标数</t>
    </r>
    <r>
      <rPr>
        <sz val="10"/>
        <rFont val="Cambria"/>
        <family val="0"/>
        <charset val="1"/>
      </rPr>
      <t xml:space="preserve">)
</t>
    </r>
    <r>
      <rPr>
        <sz val="10"/>
        <rFont val="Noto Sans SC"/>
        <family val="2"/>
      </rPr>
      <t xml:space="preserve">整体抽检准确率 </t>
    </r>
    <r>
      <rPr>
        <sz val="10"/>
        <rFont val="Cambria"/>
        <family val="0"/>
        <charset val="1"/>
      </rPr>
      <t xml:space="preserve">= </t>
    </r>
    <r>
      <rPr>
        <sz val="10"/>
        <rFont val="Noto Sans SC"/>
        <family val="2"/>
      </rPr>
      <t xml:space="preserve">全部抽检图片的分子之和 </t>
    </r>
    <r>
      <rPr>
        <sz val="10"/>
        <rFont val="Cambria"/>
        <family val="0"/>
        <charset val="1"/>
      </rPr>
      <t xml:space="preserve">/ </t>
    </r>
    <r>
      <rPr>
        <sz val="10"/>
        <rFont val="Noto Sans SC"/>
        <family val="2"/>
      </rPr>
      <t xml:space="preserve">分母之和
口径校验：参考示例 </t>
    </r>
    <r>
      <rPr>
        <sz val="10"/>
        <rFont val="Cambria"/>
        <family val="0"/>
        <charset val="1"/>
      </rPr>
      <t xml:space="preserve">Task_005</t>
    </r>
    <r>
      <rPr>
        <sz val="10"/>
        <rFont val="Noto Sans SC"/>
        <family val="2"/>
      </rPr>
      <t xml:space="preserve">（</t>
    </r>
    <r>
      <rPr>
        <sz val="10"/>
        <rFont val="Cambria"/>
        <family val="0"/>
        <charset val="1"/>
      </rPr>
      <t xml:space="preserve">2 </t>
    </r>
    <r>
      <rPr>
        <sz val="10"/>
        <rFont val="Noto Sans SC"/>
        <family val="2"/>
      </rPr>
      <t xml:space="preserve">个框、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个错标、</t>
    </r>
    <r>
      <rPr>
        <sz val="10"/>
        <rFont val="Cambria"/>
        <family val="0"/>
        <charset val="1"/>
      </rPr>
      <t xml:space="preserve">0 </t>
    </r>
    <r>
      <rPr>
        <sz val="10"/>
        <rFont val="Noto Sans SC"/>
        <family val="2"/>
      </rPr>
      <t xml:space="preserve">个框选不准、</t>
    </r>
    <r>
      <rPr>
        <sz val="10"/>
        <rFont val="Cambria"/>
        <family val="0"/>
        <charset val="1"/>
      </rPr>
      <t xml:space="preserve">0 </t>
    </r>
    <r>
      <rPr>
        <sz val="10"/>
        <rFont val="Noto Sans SC"/>
        <family val="2"/>
      </rPr>
      <t xml:space="preserve">个漏标）→</t>
    </r>
    <r>
      <rPr>
        <sz val="10"/>
        <rFont val="Cambria"/>
        <family val="0"/>
        <charset val="1"/>
      </rPr>
      <t xml:space="preserve">(2−1−0)/(2+0)=50%</t>
    </r>
    <r>
      <rPr>
        <sz val="10"/>
        <rFont val="Noto Sans SC"/>
        <family val="2"/>
      </rPr>
      <t xml:space="preserve">，与参考表一致。</t>
    </r>
  </si>
  <si>
    <t xml:space="preserve">五、复核方法</t>
  </si>
  <si>
    <r>
      <rPr>
        <sz val="10"/>
        <rFont val="Cambria"/>
        <family val="0"/>
        <charset val="1"/>
      </rPr>
      <t xml:space="preserve">1) </t>
    </r>
    <r>
      <rPr>
        <sz val="10"/>
        <rFont val="Noto Sans SC"/>
        <family val="2"/>
      </rPr>
      <t xml:space="preserve">程序解析 </t>
    </r>
    <r>
      <rPr>
        <sz val="10"/>
        <rFont val="Cambria"/>
        <family val="0"/>
        <charset val="1"/>
      </rPr>
      <t xml:space="preserve">labels/*.txt</t>
    </r>
    <r>
      <rPr>
        <sz val="10"/>
        <rFont val="Noto Sans SC"/>
        <family val="2"/>
      </rPr>
      <t xml:space="preserve">：逐图统计框数、校验类别 </t>
    </r>
    <r>
      <rPr>
        <sz val="10"/>
        <rFont val="Cambria"/>
        <family val="0"/>
        <charset val="1"/>
      </rPr>
      <t xml:space="preserve">id </t>
    </r>
    <r>
      <rPr>
        <sz val="10"/>
        <rFont val="Noto Sans SC"/>
        <family val="2"/>
      </rPr>
      <t xml:space="preserve">合法性、坐标范围（</t>
    </r>
    <r>
      <rPr>
        <sz val="10"/>
        <rFont val="Cambria"/>
        <family val="0"/>
        <charset val="1"/>
      </rPr>
      <t xml:space="preserve">0&lt;cx,cy&lt;1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0&lt;w,h≤1</t>
    </r>
    <r>
      <rPr>
        <sz val="10"/>
        <rFont val="Noto Sans SC"/>
        <family val="2"/>
      </rPr>
      <t xml:space="preserve">）、是否存在退化框；
</t>
    </r>
    <r>
      <rPr>
        <sz val="10"/>
        <rFont val="Cambria"/>
        <family val="0"/>
        <charset val="1"/>
      </rPr>
      <t xml:space="preserve">2) </t>
    </r>
    <r>
      <rPr>
        <sz val="10"/>
        <rFont val="Noto Sans SC"/>
        <family val="2"/>
      </rPr>
      <t xml:space="preserve">用图片文件名中保留的 </t>
    </r>
    <r>
      <rPr>
        <sz val="10"/>
        <rFont val="Cambria"/>
        <family val="0"/>
        <charset val="1"/>
      </rPr>
      <t xml:space="preserve">TrashNet </t>
    </r>
    <r>
      <rPr>
        <sz val="10"/>
        <rFont val="Noto Sans SC"/>
        <family val="2"/>
      </rPr>
      <t xml:space="preserve">原始类别（</t>
    </r>
    <r>
      <rPr>
        <sz val="10"/>
        <rFont val="Cambria"/>
        <family val="0"/>
        <charset val="1"/>
      </rPr>
      <t xml:space="preserve">trash/plastic/glass/paper/metal</t>
    </r>
    <r>
      <rPr>
        <sz val="10"/>
        <rFont val="Noto Sans SC"/>
        <family val="2"/>
      </rPr>
      <t xml:space="preserve">）做类别交叉验证；
</t>
    </r>
    <r>
      <rPr>
        <sz val="10"/>
        <rFont val="Cambria"/>
        <family val="0"/>
        <charset val="1"/>
      </rPr>
      <t xml:space="preserve">3) </t>
    </r>
    <r>
      <rPr>
        <sz val="10"/>
        <rFont val="Noto Sans SC"/>
        <family val="2"/>
      </rPr>
      <t xml:space="preserve">把每个标注框叠加回原图，逐张 </t>
    </r>
    <r>
      <rPr>
        <sz val="10"/>
        <rFont val="Cambria"/>
        <family val="0"/>
        <charset val="1"/>
      </rPr>
      <t xml:space="preserve">2×/3× </t>
    </r>
    <r>
      <rPr>
        <sz val="10"/>
        <rFont val="Noto Sans SC"/>
        <family val="2"/>
      </rPr>
      <t xml:space="preserve">放大目视复核框与物体轮廓的贴合度，并用 </t>
    </r>
    <r>
      <rPr>
        <sz val="10"/>
        <rFont val="Cambria"/>
        <family val="0"/>
        <charset val="1"/>
      </rPr>
      <t xml:space="preserve">10px </t>
    </r>
    <r>
      <rPr>
        <sz val="10"/>
        <rFont val="Noto Sans SC"/>
        <family val="2"/>
      </rPr>
      <t xml:space="preserve">刻度尺读数。</t>
    </r>
  </si>
  <si>
    <t xml:space="preserve">六、结构校验结果</t>
  </si>
  <si>
    <r>
      <rPr>
        <sz val="10"/>
        <rFont val="Noto Sans SC"/>
        <family val="2"/>
      </rPr>
      <t xml:space="preserve">图片 </t>
    </r>
    <r>
      <rPr>
        <sz val="10"/>
        <rFont val="Cambria"/>
        <family val="0"/>
        <charset val="1"/>
      </rPr>
      <t xml:space="preserve">35 </t>
    </r>
    <r>
      <rPr>
        <sz val="10"/>
        <rFont val="Noto Sans SC"/>
        <family val="2"/>
      </rPr>
      <t xml:space="preserve">张、标签文件 </t>
    </r>
    <r>
      <rPr>
        <sz val="10"/>
        <rFont val="Cambria"/>
        <family val="0"/>
        <charset val="1"/>
      </rPr>
      <t xml:space="preserve">35 </t>
    </r>
    <r>
      <rPr>
        <sz val="10"/>
        <rFont val="Noto Sans SC"/>
        <family val="2"/>
      </rPr>
      <t xml:space="preserve">个、标注框 </t>
    </r>
    <r>
      <rPr>
        <sz val="10"/>
        <rFont val="Cambria"/>
        <family val="0"/>
        <charset val="1"/>
      </rPr>
      <t xml:space="preserve">35 </t>
    </r>
    <r>
      <rPr>
        <sz val="10"/>
        <rFont val="Noto Sans SC"/>
        <family val="2"/>
      </rPr>
      <t xml:space="preserve">个，一一对应，无空标签、无多余标签；
每张图恰好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个框；类别 </t>
    </r>
    <r>
      <rPr>
        <sz val="10"/>
        <rFont val="Cambria"/>
        <family val="0"/>
        <charset val="1"/>
      </rPr>
      <t xml:space="preserve">id </t>
    </r>
    <r>
      <rPr>
        <sz val="10"/>
        <rFont val="Noto Sans SC"/>
        <family val="2"/>
      </rPr>
      <t xml:space="preserve">全部合法；坐标全部在有效范围内（越界 </t>
    </r>
    <r>
      <rPr>
        <sz val="10"/>
        <rFont val="Cambria"/>
        <family val="0"/>
        <charset val="1"/>
      </rPr>
      <t xml:space="preserve">0 </t>
    </r>
    <r>
      <rPr>
        <sz val="10"/>
        <rFont val="Noto Sans SC"/>
        <family val="2"/>
      </rPr>
      <t xml:space="preserve">个）；无退化框（最小框 </t>
    </r>
    <r>
      <rPr>
        <sz val="10"/>
        <rFont val="Cambria"/>
        <family val="0"/>
        <charset val="1"/>
      </rPr>
      <t xml:space="preserve">0.187×0.219</t>
    </r>
    <r>
      <rPr>
        <sz val="10"/>
        <rFont val="Noto Sans SC"/>
        <family val="2"/>
      </rPr>
      <t xml:space="preserve">，最小面积占比 </t>
    </r>
    <r>
      <rPr>
        <sz val="10"/>
        <rFont val="Cambria"/>
        <family val="0"/>
        <charset val="1"/>
      </rPr>
      <t xml:space="preserve">4.1%</t>
    </r>
    <r>
      <rPr>
        <sz val="10"/>
        <rFont val="Noto Sans SC"/>
        <family val="2"/>
      </rPr>
      <t xml:space="preserve">）；
类别与来源类别一致：</t>
    </r>
    <r>
      <rPr>
        <sz val="10"/>
        <rFont val="Cambria"/>
        <family val="0"/>
        <charset val="1"/>
      </rPr>
      <t xml:space="preserve">35/35</t>
    </r>
    <r>
      <rPr>
        <sz val="10"/>
        <rFont val="Noto Sans SC"/>
        <family val="2"/>
      </rPr>
      <t xml:space="preserve">（</t>
    </r>
    <r>
      <rPr>
        <sz val="10"/>
        <rFont val="Cambria"/>
        <family val="0"/>
        <charset val="1"/>
      </rPr>
      <t xml:space="preserve">0 </t>
    </r>
    <r>
      <rPr>
        <sz val="10"/>
        <rFont val="Noto Sans SC"/>
        <family val="2"/>
      </rPr>
      <t xml:space="preserve">处不一致）。</t>
    </r>
  </si>
  <si>
    <t xml:space="preserve">七、局限说明</t>
  </si>
  <si>
    <r>
      <rPr>
        <sz val="10"/>
        <rFont val="Noto Sans SC"/>
        <family val="2"/>
      </rPr>
      <t xml:space="preserve">框边界间隙为 </t>
    </r>
    <r>
      <rPr>
        <sz val="10"/>
        <rFont val="Cambria"/>
        <family val="0"/>
        <charset val="1"/>
      </rPr>
      <t xml:space="preserve">2×/3× </t>
    </r>
    <r>
      <rPr>
        <sz val="10"/>
        <rFont val="Noto Sans SC"/>
        <family val="2"/>
      </rPr>
      <t xml:space="preserve">放大后的目视读数，存在约 </t>
    </r>
    <r>
      <rPr>
        <sz val="10"/>
        <rFont val="Cambria"/>
        <family val="0"/>
        <charset val="1"/>
      </rPr>
      <t xml:space="preserve">±5px </t>
    </r>
    <r>
      <rPr>
        <sz val="10"/>
        <rFont val="Noto Sans SC"/>
        <family val="2"/>
      </rPr>
      <t xml:space="preserve">误差；本报告为 </t>
    </r>
    <r>
      <rPr>
        <sz val="10"/>
        <rFont val="Cambria"/>
        <family val="0"/>
        <charset val="1"/>
      </rPr>
      <t xml:space="preserve">AI </t>
    </r>
    <r>
      <rPr>
        <sz val="10"/>
        <rFont val="Noto Sans SC"/>
        <family val="2"/>
      </rPr>
      <t xml:space="preserve">辅助初检结果，建议对判为不合格的 </t>
    </r>
    <r>
      <rPr>
        <sz val="10"/>
        <rFont val="Cambria"/>
        <family val="0"/>
        <charset val="1"/>
      </rPr>
      <t xml:space="preserve">5 </t>
    </r>
    <r>
      <rPr>
        <sz val="10"/>
        <rFont val="Noto Sans SC"/>
        <family val="2"/>
      </rPr>
      <t xml:space="preserve">张（</t>
    </r>
    <r>
      <rPr>
        <sz val="10"/>
        <rFont val="Cambria"/>
        <family val="0"/>
        <charset val="1"/>
      </rPr>
      <t xml:space="preserve">glass3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glass4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trash4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glass1</t>
    </r>
    <r>
      <rPr>
        <sz val="10"/>
        <rFont val="Noto Sans SC"/>
        <family val="2"/>
      </rPr>
      <t xml:space="preserve">、</t>
    </r>
    <r>
      <rPr>
        <sz val="10"/>
        <rFont val="Cambria"/>
        <family val="0"/>
        <charset val="1"/>
      </rPr>
      <t xml:space="preserve">trash5</t>
    </r>
    <r>
      <rPr>
        <sz val="10"/>
        <rFont val="Noto Sans SC"/>
        <family val="2"/>
      </rPr>
      <t xml:space="preserve">）由人工复核确认后再返工。
另有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处待人工确认但不计缺陷：</t>
    </r>
    <r>
      <rPr>
        <sz val="10"/>
        <rFont val="Cambria"/>
        <family val="0"/>
        <charset val="1"/>
      </rPr>
      <t xml:space="preserve">trash6 </t>
    </r>
    <r>
      <rPr>
        <sz val="10"/>
        <rFont val="Noto Sans SC"/>
        <family val="2"/>
      </rPr>
      <t xml:space="preserve">画面为两层透明塑料薄膜叠放，标注为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个框，如需按“两个独立物体”口径则应记为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处漏标。</t>
    </r>
  </si>
  <si>
    <t xml:space="preserve">八、数据来源</t>
  </si>
  <si>
    <r>
      <rPr>
        <sz val="10"/>
        <rFont val="Cambria"/>
        <family val="0"/>
        <charset val="1"/>
      </rPr>
      <t xml:space="preserve">D:\label-studio\project-3-at-2026-10-01-22-06-b565b7bc.zip
</t>
    </r>
    <r>
      <rPr>
        <sz val="10"/>
        <rFont val="Noto Sans SC"/>
        <family val="2"/>
      </rPr>
      <t xml:space="preserve">原始图片为公开数据集 </t>
    </r>
    <r>
      <rPr>
        <sz val="10"/>
        <rFont val="Cambria"/>
        <family val="0"/>
        <charset val="1"/>
      </rPr>
      <t xml:space="preserve">TrashNet</t>
    </r>
    <r>
      <rPr>
        <sz val="10"/>
        <rFont val="Noto Sans SC"/>
        <family val="2"/>
      </rPr>
      <t xml:space="preserve">（</t>
    </r>
    <r>
      <rPr>
        <sz val="10"/>
        <rFont val="Cambria"/>
        <family val="0"/>
        <charset val="1"/>
      </rPr>
      <t xml:space="preserve">garythung/trashnet</t>
    </r>
    <r>
      <rPr>
        <sz val="10"/>
        <rFont val="Noto Sans SC"/>
        <family val="2"/>
      </rPr>
      <t xml:space="preserve">），仅供教学与研究用途。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</si>
</sst>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SC"/>
      <family val="2"/>
    </font>
    <font>
      <b val="true"/>
      <sz val="10"/>
      <name val="Noto Sans SC"/>
      <family val="2"/>
    </font>
    <font>
      <sz val="9"/>
      <color rgb="FF595959"/>
      <name val="Cambria"/>
      <family val="0"/>
      <charset val="1"/>
    </font>
    <font>
      <sz val="9"/>
      <color rgb="FF595959"/>
      <name val="Noto Sans SC"/>
      <family val="2"/>
    </font>
    <font>
      <b val="true"/>
      <sz val="10"/>
      <color rgb="FFFFFFFF"/>
      <name val="Noto Sans SC"/>
      <family val="2"/>
    </font>
    <font>
      <sz val="10"/>
      <name val="Cambria"/>
      <family val="0"/>
      <charset val="1"/>
    </font>
    <font>
      <sz val="10"/>
      <name val="Noto Sans SC"/>
      <family val="2"/>
    </font>
    <font>
      <b val="true"/>
      <sz val="10"/>
      <name val="Cambria"/>
      <family val="0"/>
      <charset val="1"/>
    </font>
    <font>
      <b val="true"/>
      <sz val="11"/>
      <name val="Noto Sans SC"/>
      <family val="2"/>
    </font>
    <font>
      <sz val="11"/>
      <color theme="1"/>
      <name val="Noto Sans SC"/>
      <family val="2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Noto Sans SC"/>
      <family val="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CE4E4"/>
        <bgColor rgb="FFDDEBF7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8" min="7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customFormat="false" ht="25.5" hidden="false" customHeight="true" outlineLevel="0" collapsed="false">
      <c r="A3" s="2" t="s">
        <v>3</v>
      </c>
      <c r="B3" s="4" t="s">
        <v>4</v>
      </c>
      <c r="C3" s="4"/>
      <c r="D3" s="4"/>
      <c r="E3" s="4"/>
      <c r="F3" s="4"/>
      <c r="G3" s="4"/>
      <c r="H3" s="4"/>
    </row>
    <row r="4" customFormat="false" ht="25.5" hidden="false" customHeight="true" outlineLevel="0" collapsed="false">
      <c r="A4" s="2" t="s">
        <v>5</v>
      </c>
      <c r="B4" s="4" t="s">
        <v>6</v>
      </c>
      <c r="C4" s="4"/>
      <c r="D4" s="4"/>
      <c r="E4" s="4"/>
      <c r="F4" s="4"/>
      <c r="G4" s="4"/>
      <c r="H4" s="4"/>
    </row>
    <row r="5" customFormat="false" ht="25.5" hidden="false" customHeight="true" outlineLevel="0" collapsed="false">
      <c r="A5" s="2" t="s">
        <v>7</v>
      </c>
      <c r="B5" s="4" t="s">
        <v>8</v>
      </c>
      <c r="C5" s="4"/>
      <c r="D5" s="4"/>
      <c r="E5" s="4"/>
      <c r="F5" s="4"/>
      <c r="G5" s="4"/>
      <c r="H5" s="4"/>
    </row>
    <row r="7" customFormat="false" ht="21.75" hidden="false" customHeight="true" outlineLevel="0" collapsed="false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</row>
    <row r="8" customFormat="false" ht="15" hidden="false" customHeight="false" outlineLevel="0" collapsed="false">
      <c r="A8" s="6" t="s">
        <v>17</v>
      </c>
      <c r="B8" s="7" t="s">
        <v>18</v>
      </c>
      <c r="C8" s="8" t="s">
        <v>19</v>
      </c>
      <c r="D8" s="6" t="n">
        <v>1</v>
      </c>
      <c r="E8" s="6" t="n">
        <v>0</v>
      </c>
      <c r="F8" s="6" t="n">
        <v>0</v>
      </c>
      <c r="G8" s="6" t="n">
        <v>1</v>
      </c>
      <c r="H8" s="9" t="n">
        <f aca="false">IF((D8+E8)=0,"",(D8-E8-F8-G8)/(D8+E8))</f>
        <v>0</v>
      </c>
    </row>
    <row r="9" customFormat="false" ht="15" hidden="false" customHeight="false" outlineLevel="0" collapsed="false">
      <c r="A9" s="10" t="s">
        <v>20</v>
      </c>
      <c r="B9" s="11" t="s">
        <v>21</v>
      </c>
      <c r="C9" s="12" t="s">
        <v>19</v>
      </c>
      <c r="D9" s="10" t="n">
        <v>1</v>
      </c>
      <c r="E9" s="10" t="n">
        <v>0</v>
      </c>
      <c r="F9" s="10" t="n">
        <v>0</v>
      </c>
      <c r="G9" s="10" t="n">
        <v>0</v>
      </c>
      <c r="H9" s="13" t="n">
        <f aca="false">IF((D9+E9)=0,"",(D9-E9-F9-G9)/(D9+E9))</f>
        <v>1</v>
      </c>
    </row>
    <row r="10" customFormat="false" ht="15" hidden="false" customHeight="false" outlineLevel="0" collapsed="false">
      <c r="A10" s="6" t="s">
        <v>22</v>
      </c>
      <c r="B10" s="7" t="s">
        <v>23</v>
      </c>
      <c r="C10" s="8" t="s">
        <v>19</v>
      </c>
      <c r="D10" s="6" t="n">
        <v>1</v>
      </c>
      <c r="E10" s="6" t="n">
        <v>0</v>
      </c>
      <c r="F10" s="6" t="n">
        <v>0</v>
      </c>
      <c r="G10" s="6" t="n">
        <v>1</v>
      </c>
      <c r="H10" s="9" t="n">
        <f aca="false">IF((D10+E10)=0,"",(D10-E10-F10-G10)/(D10+E10))</f>
        <v>0</v>
      </c>
    </row>
    <row r="11" customFormat="false" ht="15" hidden="false" customHeight="false" outlineLevel="0" collapsed="false">
      <c r="A11" s="6" t="s">
        <v>24</v>
      </c>
      <c r="B11" s="7" t="s">
        <v>25</v>
      </c>
      <c r="C11" s="8" t="s">
        <v>19</v>
      </c>
      <c r="D11" s="6" t="n">
        <v>1</v>
      </c>
      <c r="E11" s="6" t="n">
        <v>0</v>
      </c>
      <c r="F11" s="6" t="n">
        <v>0</v>
      </c>
      <c r="G11" s="6" t="n">
        <v>1</v>
      </c>
      <c r="H11" s="9" t="n">
        <f aca="false">IF((D11+E11)=0,"",(D11-E11-F11-G11)/(D11+E11))</f>
        <v>0</v>
      </c>
    </row>
    <row r="12" customFormat="false" ht="15" hidden="false" customHeight="false" outlineLevel="0" collapsed="false">
      <c r="A12" s="10" t="s">
        <v>26</v>
      </c>
      <c r="B12" s="11" t="s">
        <v>27</v>
      </c>
      <c r="C12" s="12" t="s">
        <v>19</v>
      </c>
      <c r="D12" s="10" t="n">
        <v>1</v>
      </c>
      <c r="E12" s="10" t="n">
        <v>0</v>
      </c>
      <c r="F12" s="10" t="n">
        <v>0</v>
      </c>
      <c r="G12" s="10" t="n">
        <v>0</v>
      </c>
      <c r="H12" s="13" t="n">
        <f aca="false">IF((D12+E12)=0,"",(D12-E12-F12-G12)/(D12+E12))</f>
        <v>1</v>
      </c>
    </row>
    <row r="13" customFormat="false" ht="15" hidden="false" customHeight="false" outlineLevel="0" collapsed="false">
      <c r="A13" s="10" t="s">
        <v>28</v>
      </c>
      <c r="B13" s="11" t="s">
        <v>29</v>
      </c>
      <c r="C13" s="12" t="s">
        <v>19</v>
      </c>
      <c r="D13" s="10" t="n">
        <v>1</v>
      </c>
      <c r="E13" s="10" t="n">
        <v>0</v>
      </c>
      <c r="F13" s="10" t="n">
        <v>0</v>
      </c>
      <c r="G13" s="10" t="n">
        <v>0</v>
      </c>
      <c r="H13" s="13" t="n">
        <f aca="false">IF((D13+E13)=0,"",(D13-E13-F13-G13)/(D13+E13))</f>
        <v>1</v>
      </c>
    </row>
    <row r="14" customFormat="false" ht="15" hidden="false" customHeight="false" outlineLevel="0" collapsed="false">
      <c r="A14" s="10" t="s">
        <v>30</v>
      </c>
      <c r="B14" s="11" t="s">
        <v>31</v>
      </c>
      <c r="C14" s="12" t="s">
        <v>19</v>
      </c>
      <c r="D14" s="10" t="n">
        <v>1</v>
      </c>
      <c r="E14" s="10" t="n">
        <v>0</v>
      </c>
      <c r="F14" s="10" t="n">
        <v>0</v>
      </c>
      <c r="G14" s="10" t="n">
        <v>0</v>
      </c>
      <c r="H14" s="13" t="n">
        <f aca="false">IF((D14+E14)=0,"",(D14-E14-F14-G14)/(D14+E14))</f>
        <v>1</v>
      </c>
    </row>
    <row r="15" customFormat="false" ht="15" hidden="false" customHeight="false" outlineLevel="0" collapsed="false">
      <c r="A15" s="10" t="s">
        <v>32</v>
      </c>
      <c r="B15" s="11" t="s">
        <v>33</v>
      </c>
      <c r="C15" s="12" t="s">
        <v>34</v>
      </c>
      <c r="D15" s="10" t="n">
        <v>1</v>
      </c>
      <c r="E15" s="10" t="n">
        <v>0</v>
      </c>
      <c r="F15" s="10" t="n">
        <v>0</v>
      </c>
      <c r="G15" s="10" t="n">
        <v>0</v>
      </c>
      <c r="H15" s="13" t="n">
        <f aca="false">IF((D15+E15)=0,"",(D15-E15-F15-G15)/(D15+E15))</f>
        <v>1</v>
      </c>
    </row>
    <row r="16" customFormat="false" ht="15" hidden="false" customHeight="false" outlineLevel="0" collapsed="false">
      <c r="A16" s="10" t="s">
        <v>35</v>
      </c>
      <c r="B16" s="11" t="s">
        <v>36</v>
      </c>
      <c r="C16" s="12" t="s">
        <v>34</v>
      </c>
      <c r="D16" s="10" t="n">
        <v>1</v>
      </c>
      <c r="E16" s="10" t="n">
        <v>0</v>
      </c>
      <c r="F16" s="10" t="n">
        <v>0</v>
      </c>
      <c r="G16" s="10" t="n">
        <v>0</v>
      </c>
      <c r="H16" s="13" t="n">
        <f aca="false">IF((D16+E16)=0,"",(D16-E16-F16-G16)/(D16+E16))</f>
        <v>1</v>
      </c>
    </row>
    <row r="17" customFormat="false" ht="15" hidden="false" customHeight="false" outlineLevel="0" collapsed="false">
      <c r="A17" s="10" t="s">
        <v>37</v>
      </c>
      <c r="B17" s="11" t="s">
        <v>38</v>
      </c>
      <c r="C17" s="12" t="s">
        <v>34</v>
      </c>
      <c r="D17" s="10" t="n">
        <v>1</v>
      </c>
      <c r="E17" s="10" t="n">
        <v>0</v>
      </c>
      <c r="F17" s="10" t="n">
        <v>0</v>
      </c>
      <c r="G17" s="10" t="n">
        <v>0</v>
      </c>
      <c r="H17" s="13" t="n">
        <f aca="false">IF((D17+E17)=0,"",(D17-E17-F17-G17)/(D17+E17))</f>
        <v>1</v>
      </c>
    </row>
    <row r="18" customFormat="false" ht="15" hidden="false" customHeight="false" outlineLevel="0" collapsed="false">
      <c r="A18" s="10" t="s">
        <v>39</v>
      </c>
      <c r="B18" s="11" t="s">
        <v>40</v>
      </c>
      <c r="C18" s="12" t="s">
        <v>34</v>
      </c>
      <c r="D18" s="10" t="n">
        <v>1</v>
      </c>
      <c r="E18" s="10" t="n">
        <v>0</v>
      </c>
      <c r="F18" s="10" t="n">
        <v>0</v>
      </c>
      <c r="G18" s="10" t="n">
        <v>0</v>
      </c>
      <c r="H18" s="13" t="n">
        <f aca="false">IF((D18+E18)=0,"",(D18-E18-F18-G18)/(D18+E18))</f>
        <v>1</v>
      </c>
    </row>
    <row r="19" customFormat="false" ht="15" hidden="false" customHeight="false" outlineLevel="0" collapsed="false">
      <c r="A19" s="10" t="s">
        <v>41</v>
      </c>
      <c r="B19" s="11" t="s">
        <v>42</v>
      </c>
      <c r="C19" s="12" t="s">
        <v>34</v>
      </c>
      <c r="D19" s="10" t="n">
        <v>1</v>
      </c>
      <c r="E19" s="10" t="n">
        <v>0</v>
      </c>
      <c r="F19" s="10" t="n">
        <v>0</v>
      </c>
      <c r="G19" s="10" t="n">
        <v>0</v>
      </c>
      <c r="H19" s="13" t="n">
        <f aca="false">IF((D19+E19)=0,"",(D19-E19-F19-G19)/(D19+E19))</f>
        <v>1</v>
      </c>
    </row>
    <row r="20" customFormat="false" ht="15" hidden="false" customHeight="false" outlineLevel="0" collapsed="false">
      <c r="A20" s="10" t="s">
        <v>43</v>
      </c>
      <c r="B20" s="11" t="s">
        <v>44</v>
      </c>
      <c r="C20" s="12" t="s">
        <v>34</v>
      </c>
      <c r="D20" s="10" t="n">
        <v>1</v>
      </c>
      <c r="E20" s="10" t="n">
        <v>0</v>
      </c>
      <c r="F20" s="10" t="n">
        <v>0</v>
      </c>
      <c r="G20" s="10" t="n">
        <v>0</v>
      </c>
      <c r="H20" s="13" t="n">
        <f aca="false">IF((D20+E20)=0,"",(D20-E20-F20-G20)/(D20+E20))</f>
        <v>1</v>
      </c>
    </row>
    <row r="21" customFormat="false" ht="15" hidden="false" customHeight="false" outlineLevel="0" collapsed="false">
      <c r="A21" s="10" t="s">
        <v>45</v>
      </c>
      <c r="B21" s="11" t="s">
        <v>46</v>
      </c>
      <c r="C21" s="12" t="s">
        <v>34</v>
      </c>
      <c r="D21" s="10" t="n">
        <v>1</v>
      </c>
      <c r="E21" s="10" t="n">
        <v>0</v>
      </c>
      <c r="F21" s="10" t="n">
        <v>0</v>
      </c>
      <c r="G21" s="10" t="n">
        <v>0</v>
      </c>
      <c r="H21" s="13" t="n">
        <f aca="false">IF((D21+E21)=0,"",(D21-E21-F21-G21)/(D21+E21))</f>
        <v>1</v>
      </c>
    </row>
    <row r="22" customFormat="false" ht="15" hidden="false" customHeight="false" outlineLevel="0" collapsed="false">
      <c r="A22" s="10" t="s">
        <v>47</v>
      </c>
      <c r="B22" s="11" t="s">
        <v>48</v>
      </c>
      <c r="C22" s="12" t="s">
        <v>49</v>
      </c>
      <c r="D22" s="10" t="n">
        <v>1</v>
      </c>
      <c r="E22" s="10" t="n">
        <v>0</v>
      </c>
      <c r="F22" s="10" t="n">
        <v>0</v>
      </c>
      <c r="G22" s="10" t="n">
        <v>0</v>
      </c>
      <c r="H22" s="13" t="n">
        <f aca="false">IF((D22+E22)=0,"",(D22-E22-F22-G22)/(D22+E22))</f>
        <v>1</v>
      </c>
    </row>
    <row r="23" customFormat="false" ht="15" hidden="false" customHeight="false" outlineLevel="0" collapsed="false">
      <c r="A23" s="10" t="s">
        <v>50</v>
      </c>
      <c r="B23" s="11" t="s">
        <v>51</v>
      </c>
      <c r="C23" s="12" t="s">
        <v>49</v>
      </c>
      <c r="D23" s="10" t="n">
        <v>1</v>
      </c>
      <c r="E23" s="10" t="n">
        <v>0</v>
      </c>
      <c r="F23" s="10" t="n">
        <v>0</v>
      </c>
      <c r="G23" s="10" t="n">
        <v>0</v>
      </c>
      <c r="H23" s="13" t="n">
        <f aca="false">IF((D23+E23)=0,"",(D23-E23-F23-G23)/(D23+E23))</f>
        <v>1</v>
      </c>
    </row>
    <row r="24" customFormat="false" ht="15" hidden="false" customHeight="false" outlineLevel="0" collapsed="false">
      <c r="A24" s="10" t="s">
        <v>52</v>
      </c>
      <c r="B24" s="11" t="s">
        <v>53</v>
      </c>
      <c r="C24" s="12" t="s">
        <v>49</v>
      </c>
      <c r="D24" s="10" t="n">
        <v>1</v>
      </c>
      <c r="E24" s="10" t="n">
        <v>0</v>
      </c>
      <c r="F24" s="10" t="n">
        <v>0</v>
      </c>
      <c r="G24" s="10" t="n">
        <v>0</v>
      </c>
      <c r="H24" s="13" t="n">
        <f aca="false">IF((D24+E24)=0,"",(D24-E24-F24-G24)/(D24+E24))</f>
        <v>1</v>
      </c>
    </row>
    <row r="25" customFormat="false" ht="15" hidden="false" customHeight="false" outlineLevel="0" collapsed="false">
      <c r="A25" s="6" t="s">
        <v>54</v>
      </c>
      <c r="B25" s="7" t="s">
        <v>55</v>
      </c>
      <c r="C25" s="8" t="s">
        <v>49</v>
      </c>
      <c r="D25" s="6" t="n">
        <v>1</v>
      </c>
      <c r="E25" s="6" t="n">
        <v>0</v>
      </c>
      <c r="F25" s="6" t="n">
        <v>0</v>
      </c>
      <c r="G25" s="6" t="n">
        <v>1</v>
      </c>
      <c r="H25" s="9" t="n">
        <f aca="false">IF((D25+E25)=0,"",(D25-E25-F25-G25)/(D25+E25))</f>
        <v>0</v>
      </c>
    </row>
    <row r="26" customFormat="false" ht="15" hidden="false" customHeight="false" outlineLevel="0" collapsed="false">
      <c r="A26" s="6" t="s">
        <v>56</v>
      </c>
      <c r="B26" s="7" t="s">
        <v>57</v>
      </c>
      <c r="C26" s="8" t="s">
        <v>49</v>
      </c>
      <c r="D26" s="6" t="n">
        <v>1</v>
      </c>
      <c r="E26" s="6" t="n">
        <v>0</v>
      </c>
      <c r="F26" s="6" t="n">
        <v>0</v>
      </c>
      <c r="G26" s="6" t="n">
        <v>1</v>
      </c>
      <c r="H26" s="9" t="n">
        <f aca="false">IF((D26+E26)=0,"",(D26-E26-F26-G26)/(D26+E26))</f>
        <v>0</v>
      </c>
    </row>
    <row r="27" customFormat="false" ht="15" hidden="false" customHeight="false" outlineLevel="0" collapsed="false">
      <c r="A27" s="10" t="s">
        <v>58</v>
      </c>
      <c r="B27" s="11" t="s">
        <v>59</v>
      </c>
      <c r="C27" s="12" t="s">
        <v>49</v>
      </c>
      <c r="D27" s="10" t="n">
        <v>1</v>
      </c>
      <c r="E27" s="10" t="n">
        <v>0</v>
      </c>
      <c r="F27" s="10" t="n">
        <v>0</v>
      </c>
      <c r="G27" s="10" t="n">
        <v>0</v>
      </c>
      <c r="H27" s="13" t="n">
        <f aca="false">IF((D27+E27)=0,"",(D27-E27-F27-G27)/(D27+E27))</f>
        <v>1</v>
      </c>
    </row>
    <row r="28" customFormat="false" ht="15" hidden="false" customHeight="false" outlineLevel="0" collapsed="false">
      <c r="A28" s="10" t="s">
        <v>60</v>
      </c>
      <c r="B28" s="11" t="s">
        <v>61</v>
      </c>
      <c r="C28" s="12" t="s">
        <v>49</v>
      </c>
      <c r="D28" s="10" t="n">
        <v>1</v>
      </c>
      <c r="E28" s="10" t="n">
        <v>0</v>
      </c>
      <c r="F28" s="10" t="n">
        <v>0</v>
      </c>
      <c r="G28" s="10" t="n">
        <v>0</v>
      </c>
      <c r="H28" s="13" t="n">
        <f aca="false">IF((D28+E28)=0,"",(D28-E28-F28-G28)/(D28+E28))</f>
        <v>1</v>
      </c>
    </row>
    <row r="29" customFormat="false" ht="15" hidden="false" customHeight="false" outlineLevel="0" collapsed="false">
      <c r="A29" s="10" t="s">
        <v>62</v>
      </c>
      <c r="B29" s="11" t="s">
        <v>63</v>
      </c>
      <c r="C29" s="12" t="s">
        <v>64</v>
      </c>
      <c r="D29" s="10" t="n">
        <v>1</v>
      </c>
      <c r="E29" s="10" t="n">
        <v>0</v>
      </c>
      <c r="F29" s="10" t="n">
        <v>0</v>
      </c>
      <c r="G29" s="10" t="n">
        <v>0</v>
      </c>
      <c r="H29" s="13" t="n">
        <f aca="false">IF((D29+E29)=0,"",(D29-E29-F29-G29)/(D29+E29))</f>
        <v>1</v>
      </c>
    </row>
    <row r="30" customFormat="false" ht="15" hidden="false" customHeight="false" outlineLevel="0" collapsed="false">
      <c r="A30" s="10" t="s">
        <v>65</v>
      </c>
      <c r="B30" s="11" t="s">
        <v>66</v>
      </c>
      <c r="C30" s="12" t="s">
        <v>64</v>
      </c>
      <c r="D30" s="10" t="n">
        <v>1</v>
      </c>
      <c r="E30" s="10" t="n">
        <v>0</v>
      </c>
      <c r="F30" s="10" t="n">
        <v>0</v>
      </c>
      <c r="G30" s="10" t="n">
        <v>0</v>
      </c>
      <c r="H30" s="13" t="n">
        <f aca="false">IF((D30+E30)=0,"",(D30-E30-F30-G30)/(D30+E30))</f>
        <v>1</v>
      </c>
    </row>
    <row r="31" customFormat="false" ht="15" hidden="false" customHeight="false" outlineLevel="0" collapsed="false">
      <c r="A31" s="10" t="s">
        <v>67</v>
      </c>
      <c r="B31" s="11" t="s">
        <v>68</v>
      </c>
      <c r="C31" s="12" t="s">
        <v>64</v>
      </c>
      <c r="D31" s="10" t="n">
        <v>1</v>
      </c>
      <c r="E31" s="10" t="n">
        <v>0</v>
      </c>
      <c r="F31" s="10" t="n">
        <v>0</v>
      </c>
      <c r="G31" s="10" t="n">
        <v>0</v>
      </c>
      <c r="H31" s="13" t="n">
        <f aca="false">IF((D31+E31)=0,"",(D31-E31-F31-G31)/(D31+E31))</f>
        <v>1</v>
      </c>
    </row>
    <row r="32" customFormat="false" ht="15" hidden="false" customHeight="false" outlineLevel="0" collapsed="false">
      <c r="A32" s="10" t="s">
        <v>69</v>
      </c>
      <c r="B32" s="11" t="s">
        <v>70</v>
      </c>
      <c r="C32" s="12" t="s">
        <v>64</v>
      </c>
      <c r="D32" s="10" t="n">
        <v>1</v>
      </c>
      <c r="E32" s="10" t="n">
        <v>0</v>
      </c>
      <c r="F32" s="10" t="n">
        <v>0</v>
      </c>
      <c r="G32" s="10" t="n">
        <v>0</v>
      </c>
      <c r="H32" s="13" t="n">
        <f aca="false">IF((D32+E32)=0,"",(D32-E32-F32-G32)/(D32+E32))</f>
        <v>1</v>
      </c>
    </row>
    <row r="33" customFormat="false" ht="15" hidden="false" customHeight="false" outlineLevel="0" collapsed="false">
      <c r="A33" s="10" t="s">
        <v>71</v>
      </c>
      <c r="B33" s="11" t="s">
        <v>72</v>
      </c>
      <c r="C33" s="12" t="s">
        <v>64</v>
      </c>
      <c r="D33" s="10" t="n">
        <v>1</v>
      </c>
      <c r="E33" s="10" t="n">
        <v>0</v>
      </c>
      <c r="F33" s="10" t="n">
        <v>0</v>
      </c>
      <c r="G33" s="10" t="n">
        <v>0</v>
      </c>
      <c r="H33" s="13" t="n">
        <f aca="false">IF((D33+E33)=0,"",(D33-E33-F33-G33)/(D33+E33))</f>
        <v>1</v>
      </c>
    </row>
    <row r="34" customFormat="false" ht="15" hidden="false" customHeight="false" outlineLevel="0" collapsed="false">
      <c r="A34" s="10" t="s">
        <v>73</v>
      </c>
      <c r="B34" s="11" t="s">
        <v>74</v>
      </c>
      <c r="C34" s="12" t="s">
        <v>64</v>
      </c>
      <c r="D34" s="10" t="n">
        <v>1</v>
      </c>
      <c r="E34" s="10" t="n">
        <v>0</v>
      </c>
      <c r="F34" s="10" t="n">
        <v>0</v>
      </c>
      <c r="G34" s="10" t="n">
        <v>0</v>
      </c>
      <c r="H34" s="13" t="n">
        <f aca="false">IF((D34+E34)=0,"",(D34-E34-F34-G34)/(D34+E34))</f>
        <v>1</v>
      </c>
    </row>
    <row r="35" customFormat="false" ht="15" hidden="false" customHeight="false" outlineLevel="0" collapsed="false">
      <c r="A35" s="10" t="s">
        <v>75</v>
      </c>
      <c r="B35" s="11" t="s">
        <v>76</v>
      </c>
      <c r="C35" s="12" t="s">
        <v>64</v>
      </c>
      <c r="D35" s="10" t="n">
        <v>1</v>
      </c>
      <c r="E35" s="10" t="n">
        <v>0</v>
      </c>
      <c r="F35" s="10" t="n">
        <v>0</v>
      </c>
      <c r="G35" s="10" t="n">
        <v>0</v>
      </c>
      <c r="H35" s="13" t="n">
        <f aca="false">IF((D35+E35)=0,"",(D35-E35-F35-G35)/(D35+E35))</f>
        <v>1</v>
      </c>
    </row>
    <row r="36" customFormat="false" ht="15" hidden="false" customHeight="false" outlineLevel="0" collapsed="false">
      <c r="A36" s="10" t="s">
        <v>77</v>
      </c>
      <c r="B36" s="11" t="s">
        <v>78</v>
      </c>
      <c r="C36" s="12" t="s">
        <v>79</v>
      </c>
      <c r="D36" s="10" t="n">
        <v>1</v>
      </c>
      <c r="E36" s="10" t="n">
        <v>0</v>
      </c>
      <c r="F36" s="10" t="n">
        <v>0</v>
      </c>
      <c r="G36" s="10" t="n">
        <v>0</v>
      </c>
      <c r="H36" s="13" t="n">
        <f aca="false">IF((D36+E36)=0,"",(D36-E36-F36-G36)/(D36+E36))</f>
        <v>1</v>
      </c>
    </row>
    <row r="37" customFormat="false" ht="15" hidden="false" customHeight="false" outlineLevel="0" collapsed="false">
      <c r="A37" s="10" t="s">
        <v>80</v>
      </c>
      <c r="B37" s="11" t="s">
        <v>81</v>
      </c>
      <c r="C37" s="12" t="s">
        <v>79</v>
      </c>
      <c r="D37" s="10" t="n">
        <v>1</v>
      </c>
      <c r="E37" s="10" t="n">
        <v>0</v>
      </c>
      <c r="F37" s="10" t="n">
        <v>0</v>
      </c>
      <c r="G37" s="10" t="n">
        <v>0</v>
      </c>
      <c r="H37" s="13" t="n">
        <f aca="false">IF((D37+E37)=0,"",(D37-E37-F37-G37)/(D37+E37))</f>
        <v>1</v>
      </c>
    </row>
    <row r="38" customFormat="false" ht="15" hidden="false" customHeight="false" outlineLevel="0" collapsed="false">
      <c r="A38" s="10" t="s">
        <v>82</v>
      </c>
      <c r="B38" s="11" t="s">
        <v>83</v>
      </c>
      <c r="C38" s="12" t="s">
        <v>79</v>
      </c>
      <c r="D38" s="10" t="n">
        <v>1</v>
      </c>
      <c r="E38" s="10" t="n">
        <v>0</v>
      </c>
      <c r="F38" s="10" t="n">
        <v>0</v>
      </c>
      <c r="G38" s="10" t="n">
        <v>0</v>
      </c>
      <c r="H38" s="13" t="n">
        <f aca="false">IF((D38+E38)=0,"",(D38-E38-F38-G38)/(D38+E38))</f>
        <v>1</v>
      </c>
    </row>
    <row r="39" customFormat="false" ht="15" hidden="false" customHeight="false" outlineLevel="0" collapsed="false">
      <c r="A39" s="10" t="s">
        <v>84</v>
      </c>
      <c r="B39" s="11" t="s">
        <v>85</v>
      </c>
      <c r="C39" s="12" t="s">
        <v>79</v>
      </c>
      <c r="D39" s="10" t="n">
        <v>1</v>
      </c>
      <c r="E39" s="10" t="n">
        <v>0</v>
      </c>
      <c r="F39" s="10" t="n">
        <v>0</v>
      </c>
      <c r="G39" s="10" t="n">
        <v>0</v>
      </c>
      <c r="H39" s="13" t="n">
        <f aca="false">IF((D39+E39)=0,"",(D39-E39-F39-G39)/(D39+E39))</f>
        <v>1</v>
      </c>
    </row>
    <row r="40" customFormat="false" ht="15" hidden="false" customHeight="false" outlineLevel="0" collapsed="false">
      <c r="A40" s="10" t="s">
        <v>86</v>
      </c>
      <c r="B40" s="11" t="s">
        <v>87</v>
      </c>
      <c r="C40" s="12" t="s">
        <v>79</v>
      </c>
      <c r="D40" s="10" t="n">
        <v>1</v>
      </c>
      <c r="E40" s="10" t="n">
        <v>0</v>
      </c>
      <c r="F40" s="10" t="n">
        <v>0</v>
      </c>
      <c r="G40" s="10" t="n">
        <v>0</v>
      </c>
      <c r="H40" s="13" t="n">
        <f aca="false">IF((D40+E40)=0,"",(D40-E40-F40-G40)/(D40+E40))</f>
        <v>1</v>
      </c>
    </row>
    <row r="41" customFormat="false" ht="15" hidden="false" customHeight="false" outlineLevel="0" collapsed="false">
      <c r="A41" s="10" t="s">
        <v>88</v>
      </c>
      <c r="B41" s="11" t="s">
        <v>89</v>
      </c>
      <c r="C41" s="12" t="s">
        <v>79</v>
      </c>
      <c r="D41" s="10" t="n">
        <v>1</v>
      </c>
      <c r="E41" s="10" t="n">
        <v>0</v>
      </c>
      <c r="F41" s="10" t="n">
        <v>0</v>
      </c>
      <c r="G41" s="10" t="n">
        <v>0</v>
      </c>
      <c r="H41" s="13" t="n">
        <f aca="false">IF((D41+E41)=0,"",(D41-E41-F41-G41)/(D41+E41))</f>
        <v>1</v>
      </c>
    </row>
    <row r="42" customFormat="false" ht="15" hidden="false" customHeight="false" outlineLevel="0" collapsed="false">
      <c r="A42" s="10" t="s">
        <v>90</v>
      </c>
      <c r="B42" s="11" t="s">
        <v>91</v>
      </c>
      <c r="C42" s="12" t="s">
        <v>79</v>
      </c>
      <c r="D42" s="10" t="n">
        <v>1</v>
      </c>
      <c r="E42" s="10" t="n">
        <v>0</v>
      </c>
      <c r="F42" s="10" t="n">
        <v>0</v>
      </c>
      <c r="G42" s="10" t="n">
        <v>0</v>
      </c>
      <c r="H42" s="13" t="n">
        <f aca="false">IF((D42+E42)=0,"",(D42-E42-F42-G42)/(D42+E42))</f>
        <v>1</v>
      </c>
    </row>
    <row r="43" customFormat="false" ht="21.75" hidden="false" customHeight="true" outlineLevel="0" collapsed="false">
      <c r="A43" s="14" t="s">
        <v>92</v>
      </c>
      <c r="B43" s="14" t="s">
        <v>93</v>
      </c>
      <c r="C43" s="14"/>
      <c r="D43" s="14" t="n">
        <f aca="false">SUM(D8:D42)</f>
        <v>35</v>
      </c>
      <c r="E43" s="14" t="n">
        <f aca="false">SUM(E8:E42)</f>
        <v>0</v>
      </c>
      <c r="F43" s="14" t="n">
        <f aca="false">SUM(F8:F42)</f>
        <v>0</v>
      </c>
      <c r="G43" s="14" t="n">
        <f aca="false">SUM(G8:G42)</f>
        <v>5</v>
      </c>
      <c r="H43" s="15" t="n">
        <f aca="false">IF((D43+E43)=0,"",(D43-E43-F43-G43)/(D43+E43))</f>
        <v>0.857142857142857</v>
      </c>
    </row>
    <row r="45" customFormat="false" ht="15" hidden="false" customHeight="false" outlineLevel="0" collapsed="false">
      <c r="A45" s="16" t="s">
        <v>94</v>
      </c>
    </row>
    <row r="46" customFormat="false" ht="57.75" hidden="false" customHeight="true" outlineLevel="0" collapsed="false">
      <c r="A46" s="17" t="s">
        <v>95</v>
      </c>
      <c r="B46" s="17"/>
      <c r="C46" s="17"/>
      <c r="D46" s="17"/>
      <c r="E46" s="17"/>
      <c r="F46" s="17"/>
      <c r="G46" s="17"/>
      <c r="H46" s="17"/>
    </row>
  </sheetData>
  <autoFilter ref="A7:H42"/>
  <mergeCells count="6">
    <mergeCell ref="A1:H1"/>
    <mergeCell ref="B2:H2"/>
    <mergeCell ref="B3:H3"/>
    <mergeCell ref="B4:H4"/>
    <mergeCell ref="B5:H5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10"/>
    <col collapsed="false" customWidth="true" hidden="false" outlineLevel="0" max="8" min="8" style="0" width="46"/>
  </cols>
  <sheetData>
    <row r="1" customFormat="false" ht="18.05" hidden="false" customHeight="false" outlineLevel="0" collapsed="false">
      <c r="A1" s="18" t="s">
        <v>96</v>
      </c>
      <c r="B1" s="18"/>
      <c r="C1" s="18"/>
      <c r="D1" s="18"/>
      <c r="E1" s="18"/>
      <c r="F1" s="18"/>
      <c r="G1" s="18"/>
      <c r="H1" s="18"/>
    </row>
    <row r="2" customFormat="false" ht="21.75" hidden="false" customHeight="true" outlineLevel="0" collapsed="false">
      <c r="A2" s="5" t="s">
        <v>97</v>
      </c>
      <c r="B2" s="5" t="s">
        <v>98</v>
      </c>
      <c r="C2" s="5" t="s">
        <v>10</v>
      </c>
      <c r="D2" s="5" t="s">
        <v>11</v>
      </c>
      <c r="E2" s="5" t="s">
        <v>99</v>
      </c>
      <c r="F2" s="5" t="s">
        <v>100</v>
      </c>
      <c r="G2" s="5" t="s">
        <v>101</v>
      </c>
      <c r="H2" s="5" t="s">
        <v>102</v>
      </c>
    </row>
    <row r="3" customFormat="false" ht="33.75" hidden="false" customHeight="true" outlineLevel="0" collapsed="false">
      <c r="A3" s="10" t="n">
        <v>1</v>
      </c>
      <c r="B3" s="10" t="s">
        <v>17</v>
      </c>
      <c r="C3" s="19" t="s">
        <v>18</v>
      </c>
      <c r="D3" s="12" t="s">
        <v>19</v>
      </c>
      <c r="E3" s="12" t="s">
        <v>103</v>
      </c>
      <c r="F3" s="20" t="s">
        <v>104</v>
      </c>
      <c r="G3" s="12" t="s">
        <v>105</v>
      </c>
      <c r="H3" s="20" t="s">
        <v>106</v>
      </c>
    </row>
    <row r="4" customFormat="false" ht="33.75" hidden="false" customHeight="true" outlineLevel="0" collapsed="false">
      <c r="A4" s="10" t="n">
        <v>2</v>
      </c>
      <c r="B4" s="10" t="s">
        <v>22</v>
      </c>
      <c r="C4" s="19" t="s">
        <v>23</v>
      </c>
      <c r="D4" s="12" t="s">
        <v>19</v>
      </c>
      <c r="E4" s="12" t="s">
        <v>103</v>
      </c>
      <c r="F4" s="20" t="s">
        <v>107</v>
      </c>
      <c r="G4" s="12" t="s">
        <v>108</v>
      </c>
      <c r="H4" s="20" t="s">
        <v>109</v>
      </c>
    </row>
    <row r="5" customFormat="false" ht="33.75" hidden="false" customHeight="true" outlineLevel="0" collapsed="false">
      <c r="A5" s="10" t="n">
        <v>3</v>
      </c>
      <c r="B5" s="10" t="s">
        <v>24</v>
      </c>
      <c r="C5" s="19" t="s">
        <v>25</v>
      </c>
      <c r="D5" s="12" t="s">
        <v>19</v>
      </c>
      <c r="E5" s="12" t="s">
        <v>103</v>
      </c>
      <c r="F5" s="20" t="s">
        <v>110</v>
      </c>
      <c r="G5" s="12" t="s">
        <v>108</v>
      </c>
      <c r="H5" s="20" t="s">
        <v>109</v>
      </c>
    </row>
    <row r="6" customFormat="false" ht="33.75" hidden="false" customHeight="true" outlineLevel="0" collapsed="false">
      <c r="A6" s="10" t="n">
        <v>4</v>
      </c>
      <c r="B6" s="10" t="s">
        <v>54</v>
      </c>
      <c r="C6" s="19" t="s">
        <v>55</v>
      </c>
      <c r="D6" s="12" t="s">
        <v>49</v>
      </c>
      <c r="E6" s="12" t="s">
        <v>103</v>
      </c>
      <c r="F6" s="20" t="s">
        <v>111</v>
      </c>
      <c r="G6" s="12" t="s">
        <v>108</v>
      </c>
      <c r="H6" s="20" t="s">
        <v>109</v>
      </c>
    </row>
    <row r="7" customFormat="false" ht="33.75" hidden="false" customHeight="true" outlineLevel="0" collapsed="false">
      <c r="A7" s="10" t="n">
        <v>5</v>
      </c>
      <c r="B7" s="10" t="s">
        <v>56</v>
      </c>
      <c r="C7" s="19" t="s">
        <v>57</v>
      </c>
      <c r="D7" s="12" t="s">
        <v>49</v>
      </c>
      <c r="E7" s="12" t="s">
        <v>103</v>
      </c>
      <c r="F7" s="20" t="s">
        <v>112</v>
      </c>
      <c r="G7" s="12" t="s">
        <v>105</v>
      </c>
      <c r="H7" s="20" t="s">
        <v>106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8" t="s">
        <v>113</v>
      </c>
      <c r="B1" s="18"/>
      <c r="C1" s="18"/>
      <c r="D1" s="18"/>
      <c r="E1" s="18"/>
      <c r="F1" s="18"/>
      <c r="G1" s="18"/>
      <c r="H1" s="18"/>
    </row>
    <row r="2" customFormat="false" ht="21.75" hidden="false" customHeight="true" outlineLevel="0" collapsed="false">
      <c r="A2" s="5" t="s">
        <v>114</v>
      </c>
      <c r="B2" s="5" t="s">
        <v>115</v>
      </c>
      <c r="C2" s="5" t="s">
        <v>116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117</v>
      </c>
    </row>
    <row r="3" customFormat="false" ht="15" hidden="false" customHeight="false" outlineLevel="0" collapsed="false">
      <c r="A3" s="12" t="s">
        <v>19</v>
      </c>
      <c r="B3" s="12" t="s">
        <v>118</v>
      </c>
      <c r="C3" s="10" t="n">
        <f aca="false">COUNTIF(质检报告!$C$8:$C$42,$A3)</f>
        <v>7</v>
      </c>
      <c r="D3" s="10" t="n">
        <f aca="false">SUMIF(质检报告!$C$8:$C$42,$A3,质检报告!$D$8:$D$42)</f>
        <v>7</v>
      </c>
      <c r="E3" s="10" t="n">
        <f aca="false">SUMIF(质检报告!$C$8:$C$42,$A3,质检报告!$E$8:$E$42)</f>
        <v>0</v>
      </c>
      <c r="F3" s="10" t="n">
        <f aca="false">SUMIF(质检报告!$C$8:$C$42,$A3,质检报告!$F$8:$F$42)</f>
        <v>0</v>
      </c>
      <c r="G3" s="10" t="n">
        <f aca="false">SUMIF(质检报告!$C$8:$C$42,$A3,质检报告!$G$8:$G$42)</f>
        <v>3</v>
      </c>
      <c r="H3" s="13" t="n">
        <f aca="false">IF((D3+E3)=0,"",(D3-E3-F3-G3)/(D3+E3))</f>
        <v>0.571428571428571</v>
      </c>
    </row>
    <row r="4" customFormat="false" ht="15" hidden="false" customHeight="false" outlineLevel="0" collapsed="false">
      <c r="A4" s="12" t="s">
        <v>34</v>
      </c>
      <c r="B4" s="12" t="s">
        <v>119</v>
      </c>
      <c r="C4" s="10" t="n">
        <f aca="false">COUNTIF(质检报告!$C$8:$C$42,$A4)</f>
        <v>7</v>
      </c>
      <c r="D4" s="10" t="n">
        <f aca="false">SUMIF(质检报告!$C$8:$C$42,$A4,质检报告!$D$8:$D$42)</f>
        <v>7</v>
      </c>
      <c r="E4" s="10" t="n">
        <f aca="false">SUMIF(质检报告!$C$8:$C$42,$A4,质检报告!$E$8:$E$42)</f>
        <v>0</v>
      </c>
      <c r="F4" s="10" t="n">
        <f aca="false">SUMIF(质检报告!$C$8:$C$42,$A4,质检报告!$F$8:$F$42)</f>
        <v>0</v>
      </c>
      <c r="G4" s="10" t="n">
        <f aca="false">SUMIF(质检报告!$C$8:$C$42,$A4,质检报告!$G$8:$G$42)</f>
        <v>0</v>
      </c>
      <c r="H4" s="13" t="n">
        <f aca="false">IF((D4+E4)=0,"",(D4-E4-F4-G4)/(D4+E4))</f>
        <v>1</v>
      </c>
    </row>
    <row r="5" customFormat="false" ht="15" hidden="false" customHeight="false" outlineLevel="0" collapsed="false">
      <c r="A5" s="12" t="s">
        <v>49</v>
      </c>
      <c r="B5" s="12" t="s">
        <v>120</v>
      </c>
      <c r="C5" s="10" t="n">
        <f aca="false">COUNTIF(质检报告!$C$8:$C$42,$A5)</f>
        <v>7</v>
      </c>
      <c r="D5" s="10" t="n">
        <f aca="false">SUMIF(质检报告!$C$8:$C$42,$A5,质检报告!$D$8:$D$42)</f>
        <v>7</v>
      </c>
      <c r="E5" s="10" t="n">
        <f aca="false">SUMIF(质检报告!$C$8:$C$42,$A5,质检报告!$E$8:$E$42)</f>
        <v>0</v>
      </c>
      <c r="F5" s="10" t="n">
        <f aca="false">SUMIF(质检报告!$C$8:$C$42,$A5,质检报告!$F$8:$F$42)</f>
        <v>0</v>
      </c>
      <c r="G5" s="10" t="n">
        <f aca="false">SUMIF(质检报告!$C$8:$C$42,$A5,质检报告!$G$8:$G$42)</f>
        <v>2</v>
      </c>
      <c r="H5" s="13" t="n">
        <f aca="false">IF((D5+E5)=0,"",(D5-E5-F5-G5)/(D5+E5))</f>
        <v>0.714285714285714</v>
      </c>
    </row>
    <row r="6" customFormat="false" ht="15" hidden="false" customHeight="false" outlineLevel="0" collapsed="false">
      <c r="A6" s="12" t="s">
        <v>64</v>
      </c>
      <c r="B6" s="12" t="s">
        <v>121</v>
      </c>
      <c r="C6" s="10" t="n">
        <f aca="false">COUNTIF(质检报告!$C$8:$C$42,$A6)</f>
        <v>7</v>
      </c>
      <c r="D6" s="10" t="n">
        <f aca="false">SUMIF(质检报告!$C$8:$C$42,$A6,质检报告!$D$8:$D$42)</f>
        <v>7</v>
      </c>
      <c r="E6" s="10" t="n">
        <f aca="false">SUMIF(质检报告!$C$8:$C$42,$A6,质检报告!$E$8:$E$42)</f>
        <v>0</v>
      </c>
      <c r="F6" s="10" t="n">
        <f aca="false">SUMIF(质检报告!$C$8:$C$42,$A6,质检报告!$F$8:$F$42)</f>
        <v>0</v>
      </c>
      <c r="G6" s="10" t="n">
        <f aca="false">SUMIF(质检报告!$C$8:$C$42,$A6,质检报告!$G$8:$G$42)</f>
        <v>0</v>
      </c>
      <c r="H6" s="13" t="n">
        <f aca="false">IF((D6+E6)=0,"",(D6-E6-F6-G6)/(D6+E6))</f>
        <v>1</v>
      </c>
    </row>
    <row r="7" customFormat="false" ht="15" hidden="false" customHeight="false" outlineLevel="0" collapsed="false">
      <c r="A7" s="12" t="s">
        <v>79</v>
      </c>
      <c r="B7" s="12" t="s">
        <v>122</v>
      </c>
      <c r="C7" s="10" t="n">
        <f aca="false">COUNTIF(质检报告!$C$8:$C$42,$A7)</f>
        <v>7</v>
      </c>
      <c r="D7" s="10" t="n">
        <f aca="false">SUMIF(质检报告!$C$8:$C$42,$A7,质检报告!$D$8:$D$42)</f>
        <v>7</v>
      </c>
      <c r="E7" s="10" t="n">
        <f aca="false">SUMIF(质检报告!$C$8:$C$42,$A7,质检报告!$E$8:$E$42)</f>
        <v>0</v>
      </c>
      <c r="F7" s="10" t="n">
        <f aca="false">SUMIF(质检报告!$C$8:$C$42,$A7,质检报告!$F$8:$F$42)</f>
        <v>0</v>
      </c>
      <c r="G7" s="10" t="n">
        <f aca="false">SUMIF(质检报告!$C$8:$C$42,$A7,质检报告!$G$8:$G$42)</f>
        <v>0</v>
      </c>
      <c r="H7" s="13" t="n">
        <f aca="false">IF((D7+E7)=0,"",(D7-E7-F7-G7)/(D7+E7))</f>
        <v>1</v>
      </c>
    </row>
    <row r="8" customFormat="false" ht="15" hidden="false" customHeight="false" outlineLevel="0" collapsed="false">
      <c r="A8" s="14" t="s">
        <v>123</v>
      </c>
      <c r="B8" s="14" t="s">
        <v>124</v>
      </c>
      <c r="C8" s="14" t="n">
        <f aca="false">SUM(C3:C7)</f>
        <v>35</v>
      </c>
      <c r="D8" s="14" t="n">
        <f aca="false">SUM(D3:D7)</f>
        <v>35</v>
      </c>
      <c r="E8" s="14" t="n">
        <f aca="false">SUM(E3:E7)</f>
        <v>0</v>
      </c>
      <c r="F8" s="14" t="n">
        <f aca="false">SUM(F3:F7)</f>
        <v>0</v>
      </c>
      <c r="G8" s="14" t="n">
        <f aca="false">SUM(G3:G7)</f>
        <v>5</v>
      </c>
      <c r="H8" s="15" t="n">
        <f aca="false">IF((D8+E8)=0,"",(D8-E8-F8-G8)/(D8+E8))</f>
        <v>0.857142857142857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8"/>
  </cols>
  <sheetData>
    <row r="1" customFormat="false" ht="17.35" hidden="false" customHeight="false" outlineLevel="0" collapsed="false">
      <c r="A1" s="18" t="s">
        <v>125</v>
      </c>
      <c r="B1" s="18"/>
    </row>
    <row r="3" customFormat="false" ht="30" hidden="false" customHeight="true" outlineLevel="0" collapsed="false">
      <c r="A3" s="21" t="s">
        <v>126</v>
      </c>
      <c r="B3" s="22" t="s">
        <v>127</v>
      </c>
    </row>
    <row r="4" customFormat="false" ht="61.5" hidden="false" customHeight="true" outlineLevel="0" collapsed="false">
      <c r="A4" s="21" t="s">
        <v>128</v>
      </c>
      <c r="B4" s="23" t="s">
        <v>129</v>
      </c>
    </row>
    <row r="5" customFormat="false" ht="45.75" hidden="false" customHeight="true" outlineLevel="0" collapsed="false">
      <c r="A5" s="21" t="s">
        <v>130</v>
      </c>
      <c r="B5" s="23" t="s">
        <v>131</v>
      </c>
    </row>
    <row r="6" customFormat="false" ht="61.5" hidden="false" customHeight="true" outlineLevel="0" collapsed="false">
      <c r="A6" s="21" t="s">
        <v>132</v>
      </c>
      <c r="B6" s="23" t="s">
        <v>133</v>
      </c>
    </row>
    <row r="7" customFormat="false" ht="61.5" hidden="false" customHeight="true" outlineLevel="0" collapsed="false">
      <c r="A7" s="21" t="s">
        <v>134</v>
      </c>
      <c r="B7" s="22" t="s">
        <v>135</v>
      </c>
    </row>
    <row r="8" customFormat="false" ht="61.5" hidden="false" customHeight="true" outlineLevel="0" collapsed="false">
      <c r="A8" s="21" t="s">
        <v>136</v>
      </c>
      <c r="B8" s="23" t="s">
        <v>137</v>
      </c>
    </row>
    <row r="9" customFormat="false" ht="45.75" hidden="false" customHeight="true" outlineLevel="0" collapsed="false">
      <c r="A9" s="21" t="s">
        <v>138</v>
      </c>
      <c r="B9" s="23" t="s">
        <v>139</v>
      </c>
    </row>
    <row r="10" customFormat="false" ht="45.75" hidden="false" customHeight="true" outlineLevel="0" collapsed="false">
      <c r="A10" s="21" t="s">
        <v>140</v>
      </c>
      <c r="B10" s="22" t="s">
        <v>141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2026-10-01T14:41:54Z</dcterms:created>
  <dc:creator>openpyxl</dc:creator>
  <dc:description/>
  <dc:language>en-US</dc:language>
  <cp:lastModifiedBy/>
  <dcterms:modified xsi:type="dcterms:W3CDTF">2026-10-01T14:41:54Z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